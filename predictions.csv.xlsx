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win11\Downloads\"/>
    </mc:Choice>
  </mc:AlternateContent>
  <xr:revisionPtr revIDLastSave="0" documentId="13_ncr:1_{DDC04376-293C-41E1-8870-18E25C00AF25}" xr6:coauthVersionLast="36" xr6:coauthVersionMax="36" xr10:uidLastSave="{00000000-0000-0000-0000-000000000000}"/>
  <bookViews>
    <workbookView xWindow="0" yWindow="0" windowWidth="38400" windowHeight="17505" xr2:uid="{00000000-000D-0000-FFFF-FFFF00000000}"/>
  </bookViews>
  <sheets>
    <sheet name="คู่มือการใช้งาน" sheetId="1" r:id="rId1"/>
    <sheet name="Matches (สำหรับแอดมิน)" sheetId="2" r:id="rId2"/>
    <sheet name="Predictions (ทายผล)" sheetId="3" r:id="rId3"/>
    <sheet name="ผลคะแนน" sheetId="4" r:id="rId4"/>
  </sheets>
  <definedNames>
    <definedName name="Z_CF696B93_6A4C_435A_BBDB_D05392BE7B83_.wvu.FilterData" localSheetId="2" hidden="1">'Predictions (ทายผล)'!$A$1:$J$61</definedName>
  </definedNames>
  <calcPr calcId="191029"/>
  <customWorkbookViews>
    <customWorkbookView name="Faro Filter1" guid="{CF696B93-6A4C-435A-BBDB-D05392BE7B83}" maximized="1" windowWidth="0" windowHeight="0" activeSheetId="0"/>
  </customWorkbookViews>
</workbook>
</file>

<file path=xl/calcChain.xml><?xml version="1.0" encoding="utf-8"?>
<calcChain xmlns="http://schemas.openxmlformats.org/spreadsheetml/2006/main">
  <c r="B11" i="4" l="1"/>
  <c r="B10" i="4"/>
  <c r="B7" i="4"/>
  <c r="B2" i="4"/>
  <c r="H61" i="3"/>
  <c r="F61" i="3"/>
  <c r="D61" i="3"/>
  <c r="A61" i="3"/>
  <c r="H60" i="3"/>
  <c r="F60" i="3"/>
  <c r="D60" i="3"/>
  <c r="A60" i="3"/>
  <c r="H59" i="3"/>
  <c r="F59" i="3"/>
  <c r="D59" i="3"/>
  <c r="A59" i="3"/>
  <c r="H58" i="3"/>
  <c r="F58" i="3"/>
  <c r="D58" i="3"/>
  <c r="A58" i="3"/>
  <c r="H57" i="3"/>
  <c r="F57" i="3"/>
  <c r="D57" i="3"/>
  <c r="A57" i="3"/>
  <c r="H56" i="3"/>
  <c r="F56" i="3"/>
  <c r="D56" i="3"/>
  <c r="A56" i="3"/>
  <c r="H55" i="3"/>
  <c r="F55" i="3"/>
  <c r="D55" i="3"/>
  <c r="A55" i="3"/>
  <c r="H54" i="3"/>
  <c r="F54" i="3"/>
  <c r="D54" i="3"/>
  <c r="A54" i="3"/>
  <c r="H53" i="3"/>
  <c r="F53" i="3"/>
  <c r="D53" i="3"/>
  <c r="A53" i="3"/>
  <c r="H52" i="3"/>
  <c r="F52" i="3"/>
  <c r="D52" i="3"/>
  <c r="A52" i="3"/>
  <c r="H51" i="3"/>
  <c r="F51" i="3"/>
  <c r="D51" i="3"/>
  <c r="A51" i="3"/>
  <c r="H50" i="3"/>
  <c r="F50" i="3"/>
  <c r="D50" i="3"/>
  <c r="A50" i="3"/>
  <c r="H49" i="3"/>
  <c r="F49" i="3"/>
  <c r="D49" i="3"/>
  <c r="A49" i="3"/>
  <c r="H48" i="3"/>
  <c r="F48" i="3"/>
  <c r="D48" i="3"/>
  <c r="A48" i="3"/>
  <c r="H47" i="3"/>
  <c r="F47" i="3"/>
  <c r="D47" i="3"/>
  <c r="A47" i="3"/>
  <c r="H46" i="3"/>
  <c r="F46" i="3"/>
  <c r="D46" i="3"/>
  <c r="A46" i="3"/>
  <c r="H45" i="3"/>
  <c r="F45" i="3"/>
  <c r="D45" i="3"/>
  <c r="A45" i="3"/>
  <c r="H44" i="3"/>
  <c r="F44" i="3"/>
  <c r="D44" i="3"/>
  <c r="A44" i="3"/>
  <c r="H43" i="3"/>
  <c r="F43" i="3"/>
  <c r="D43" i="3"/>
  <c r="A43" i="3"/>
  <c r="H42" i="3"/>
  <c r="F42" i="3"/>
  <c r="D42" i="3"/>
  <c r="A42" i="3"/>
  <c r="H41" i="3"/>
  <c r="F41" i="3"/>
  <c r="D41" i="3"/>
  <c r="A41" i="3"/>
  <c r="H40" i="3"/>
  <c r="F40" i="3"/>
  <c r="D40" i="3"/>
  <c r="A40" i="3"/>
  <c r="H39" i="3"/>
  <c r="F39" i="3"/>
  <c r="D39" i="3"/>
  <c r="A39" i="3"/>
  <c r="H38" i="3"/>
  <c r="F38" i="3"/>
  <c r="D38" i="3"/>
  <c r="A38" i="3"/>
  <c r="H37" i="3"/>
  <c r="F37" i="3"/>
  <c r="D37" i="3"/>
  <c r="A37" i="3"/>
  <c r="H36" i="3"/>
  <c r="F36" i="3"/>
  <c r="D36" i="3"/>
  <c r="A36" i="3"/>
  <c r="H35" i="3"/>
  <c r="F35" i="3"/>
  <c r="D35" i="3"/>
  <c r="A35" i="3"/>
  <c r="H34" i="3"/>
  <c r="F34" i="3"/>
  <c r="D34" i="3"/>
  <c r="A34" i="3"/>
  <c r="H33" i="3"/>
  <c r="F33" i="3"/>
  <c r="D33" i="3"/>
  <c r="A33" i="3"/>
  <c r="H32" i="3"/>
  <c r="F32" i="3"/>
  <c r="D32" i="3"/>
  <c r="A32" i="3"/>
  <c r="H31" i="3"/>
  <c r="F31" i="3"/>
  <c r="D31" i="3"/>
  <c r="A31" i="3"/>
  <c r="H30" i="3"/>
  <c r="F30" i="3"/>
  <c r="D30" i="3"/>
  <c r="A30" i="3"/>
  <c r="H29" i="3"/>
  <c r="F29" i="3"/>
  <c r="D29" i="3"/>
  <c r="A29" i="3"/>
  <c r="H28" i="3"/>
  <c r="F28" i="3"/>
  <c r="D28" i="3"/>
  <c r="A28" i="3"/>
  <c r="H27" i="3"/>
  <c r="F27" i="3"/>
  <c r="D27" i="3"/>
  <c r="A27" i="3"/>
  <c r="H26" i="3"/>
  <c r="F26" i="3"/>
  <c r="D26" i="3"/>
  <c r="A26" i="3"/>
  <c r="H25" i="3"/>
  <c r="F25" i="3"/>
  <c r="D25" i="3"/>
  <c r="A25" i="3"/>
  <c r="H24" i="3"/>
  <c r="F24" i="3"/>
  <c r="D24" i="3"/>
  <c r="A24" i="3"/>
  <c r="H23" i="3"/>
  <c r="F23" i="3"/>
  <c r="D23" i="3"/>
  <c r="A23" i="3"/>
  <c r="H22" i="3"/>
  <c r="F22" i="3"/>
  <c r="D22" i="3"/>
  <c r="A22" i="3"/>
  <c r="H21" i="3"/>
  <c r="F21" i="3"/>
  <c r="D21" i="3"/>
  <c r="A21" i="3"/>
  <c r="H20" i="3"/>
  <c r="F20" i="3"/>
  <c r="D20" i="3"/>
  <c r="A20" i="3"/>
  <c r="H19" i="3"/>
  <c r="F19" i="3"/>
  <c r="D19" i="3"/>
  <c r="A19" i="3"/>
  <c r="H18" i="3"/>
  <c r="F18" i="3"/>
  <c r="D18" i="3"/>
  <c r="A18" i="3"/>
  <c r="H17" i="3"/>
  <c r="F17" i="3"/>
  <c r="D17" i="3"/>
  <c r="A17" i="3"/>
  <c r="H16" i="3"/>
  <c r="F16" i="3"/>
  <c r="D16" i="3"/>
  <c r="A16" i="3"/>
  <c r="H15" i="3"/>
  <c r="F15" i="3"/>
  <c r="D15" i="3"/>
  <c r="A15" i="3"/>
  <c r="H14" i="3"/>
  <c r="F14" i="3"/>
  <c r="D14" i="3"/>
  <c r="A14" i="3"/>
  <c r="H13" i="3"/>
  <c r="F13" i="3"/>
  <c r="D13" i="3"/>
  <c r="A13" i="3"/>
  <c r="H12" i="3"/>
  <c r="F12" i="3"/>
  <c r="D12" i="3"/>
  <c r="A12" i="3"/>
  <c r="H11" i="3"/>
  <c r="F11" i="3"/>
  <c r="D11" i="3"/>
  <c r="A11" i="3"/>
  <c r="H10" i="3"/>
  <c r="F10" i="3"/>
  <c r="D10" i="3"/>
  <c r="A10" i="3"/>
  <c r="H9" i="3"/>
  <c r="B9" i="4" s="1"/>
  <c r="F9" i="3"/>
  <c r="D9" i="3"/>
  <c r="A9" i="3"/>
  <c r="H8" i="3"/>
  <c r="B8" i="4" s="1"/>
  <c r="F8" i="3"/>
  <c r="D8" i="3"/>
  <c r="A8" i="3"/>
  <c r="H7" i="3"/>
  <c r="F7" i="3"/>
  <c r="D7" i="3"/>
  <c r="A7" i="3"/>
  <c r="H6" i="3"/>
  <c r="B6" i="4" s="1"/>
  <c r="F6" i="3"/>
  <c r="D6" i="3"/>
  <c r="A6" i="3"/>
  <c r="H5" i="3"/>
  <c r="B5" i="4" s="1"/>
  <c r="F5" i="3"/>
  <c r="D5" i="3"/>
  <c r="A5" i="3"/>
  <c r="H4" i="3"/>
  <c r="B4" i="4" s="1"/>
  <c r="F4" i="3"/>
  <c r="D4" i="3"/>
  <c r="A4" i="3"/>
  <c r="H3" i="3"/>
  <c r="B3" i="4" s="1"/>
  <c r="F3" i="3"/>
  <c r="D3" i="3"/>
  <c r="A3" i="3"/>
  <c r="H2" i="3"/>
  <c r="F2" i="3"/>
  <c r="D2" i="3"/>
  <c r="A2" i="3"/>
</calcChain>
</file>

<file path=xl/sharedStrings.xml><?xml version="1.0" encoding="utf-8"?>
<sst xmlns="http://schemas.openxmlformats.org/spreadsheetml/2006/main" count="629" uniqueCount="189">
  <si>
    <t>ระบบคำนวณคะแนนทายผลฟุตบอลโลก 2026 (สำหรับนำไปใช้บน AppSheet)</t>
  </si>
  <si>
    <t>โครงสร้างตารางนี้ออกแบบมาเพื่อให้คุณสามารถใช้เป็นฐานข้อมูล (Database) บน Google Sheets เพื่อเชื่อมต่อกับ AppSheet ได้ทันที</t>
  </si>
  <si>
    <t>คำชี้แจงในแต่ละแท็บ:</t>
  </si>
  <si>
    <t>1. แท็บ 'Matches (สำหรับแอดมิน)'</t>
  </si>
  <si>
    <t>: สำหรับให้แอดมินใส่ตารางแข่งล่วงหน้า เมื่อแข่งจบให้แอดมินมาเติม Score_A, Score_B และเปลี่ยนสถานะเป็น 'จบแล้ว'</t>
  </si>
  <si>
    <t>2. แท็บ 'Predictions (ทายผล)'</t>
  </si>
  <si>
    <t>: สำหรับเก็บข้อมูลที่ผู้ใช้ทายผล (บน AppSheet คอลัมน์ Points_Earned จะใช้สูตรคำนวณให้เปิดดูตารางนี้เป็นตัวอย่าง)</t>
  </si>
  <si>
    <t>3. แท็บ 'Leaderboard (คะแนนรวม)'</t>
  </si>
  <si>
    <t>: ตารางสรุปคะแนนรวมของ User แต่ละคน โดยใช้สูตรดึงคะแนนรวมมาจากแท็บทายผลอัตโนมัติ</t>
  </si>
  <si>
    <t>กฎการคิดคะแนนตามที่คุณกำหนด:</t>
  </si>
  <si>
    <t>- ทายผล แพ้/ชนะ/เสมอ ถูกต้อง</t>
  </si>
  <si>
    <t>: ได้รับ 3 คะแนน</t>
  </si>
  <si>
    <t>- โบนัสทายสกอร์ถูกเป๊ะ</t>
  </si>
  <si>
    <t>: ได้รับเพิ่มตามผลรวมประตูของแมตช์นั้น (เช่น ผล 2-3 ทายถูกเป๊ะ ได้ 3 + 2 + 3 = 8 คะแนน)</t>
  </si>
  <si>
    <t>- กรณีผลจริงเสมอ 0-0</t>
  </si>
  <si>
    <t>: หากทายถูกเป๊ะ 0-0 จะได้ 3 + 0 + 0 = 3 คะแนนพอดีตามกฎ</t>
  </si>
  <si>
    <t>Match_ID</t>
  </si>
  <si>
    <t>Date</t>
  </si>
  <si>
    <t>Team_A</t>
  </si>
  <si>
    <t>Team_B</t>
  </si>
  <si>
    <t>Score_A</t>
  </si>
  <si>
    <t>Score_B</t>
  </si>
  <si>
    <t>Status</t>
  </si>
  <si>
    <t>Venue</t>
  </si>
  <si>
    <t>City</t>
  </si>
  <si>
    <t>Mexico</t>
  </si>
  <si>
    <t>South Africa</t>
  </si>
  <si>
    <t>ยังไม่แข่ง</t>
  </si>
  <si>
    <t>Estadio Azteca</t>
  </si>
  <si>
    <t>Mexico City</t>
  </si>
  <si>
    <t>South Korea</t>
  </si>
  <si>
    <t>Czechia</t>
  </si>
  <si>
    <t>Estadio Akron</t>
  </si>
  <si>
    <t>Guadalajara</t>
  </si>
  <si>
    <t>Canada</t>
  </si>
  <si>
    <t>Bosnia</t>
  </si>
  <si>
    <t>BMO Field</t>
  </si>
  <si>
    <t>Toronto</t>
  </si>
  <si>
    <t>United States</t>
  </si>
  <si>
    <t>Paraguay</t>
  </si>
  <si>
    <t>SoFi Stadium</t>
  </si>
  <si>
    <t>Los Angeles</t>
  </si>
  <si>
    <t>Qatar</t>
  </si>
  <si>
    <t>Switzerland</t>
  </si>
  <si>
    <t>Levi's Stadium</t>
  </si>
  <si>
    <t>San Francisco</t>
  </si>
  <si>
    <t>Brazil</t>
  </si>
  <si>
    <t>Morocco</t>
  </si>
  <si>
    <t>MetLife Stadium</t>
  </si>
  <si>
    <t>New York/NJ</t>
  </si>
  <si>
    <t>Haiti</t>
  </si>
  <si>
    <t>Scotland</t>
  </si>
  <si>
    <t>Gillette Stadium</t>
  </si>
  <si>
    <t>Boston</t>
  </si>
  <si>
    <t>Australia</t>
  </si>
  <si>
    <t>Turkey</t>
  </si>
  <si>
    <t>BC Place</t>
  </si>
  <si>
    <t>Vancouver</t>
  </si>
  <si>
    <t>Germany</t>
  </si>
  <si>
    <t>Curacao</t>
  </si>
  <si>
    <t>NRG Stadium</t>
  </si>
  <si>
    <t>Houston</t>
  </si>
  <si>
    <t>Netherlands</t>
  </si>
  <si>
    <t>Japan</t>
  </si>
  <si>
    <t>AT&amp;T Stadium</t>
  </si>
  <si>
    <t>Dallas</t>
  </si>
  <si>
    <t>Ivory Coast</t>
  </si>
  <si>
    <t>Ecuador</t>
  </si>
  <si>
    <t>Lincoln Financial Field</t>
  </si>
  <si>
    <t>Philadelphia</t>
  </si>
  <si>
    <t>Sweden</t>
  </si>
  <si>
    <t>Tunisia</t>
  </si>
  <si>
    <t>Estadio BBVA</t>
  </si>
  <si>
    <t>Monterrey</t>
  </si>
  <si>
    <t>Spain</t>
  </si>
  <si>
    <t>Cape Verde</t>
  </si>
  <si>
    <t>Mercedes-Benz Stadium</t>
  </si>
  <si>
    <t>Atlanta</t>
  </si>
  <si>
    <t>Belgium</t>
  </si>
  <si>
    <t>Egypt</t>
  </si>
  <si>
    <t>Lumen Field</t>
  </si>
  <si>
    <t>Seattle</t>
  </si>
  <si>
    <t>Saudi Arabia</t>
  </si>
  <si>
    <t>Uruguay</t>
  </si>
  <si>
    <t>Hard Rock Stadium</t>
  </si>
  <si>
    <t>Miami</t>
  </si>
  <si>
    <t>Iran</t>
  </si>
  <si>
    <t>New Zealand</t>
  </si>
  <si>
    <t>France</t>
  </si>
  <si>
    <t>Senegal</t>
  </si>
  <si>
    <t>Iraq</t>
  </si>
  <si>
    <t>Norway</t>
  </si>
  <si>
    <t>Argentina</t>
  </si>
  <si>
    <t>Algeria</t>
  </si>
  <si>
    <t>GEHA Field</t>
  </si>
  <si>
    <t>Kansas City</t>
  </si>
  <si>
    <t>Austria</t>
  </si>
  <si>
    <t>Jordan</t>
  </si>
  <si>
    <t>Portugal</t>
  </si>
  <si>
    <t>Congo</t>
  </si>
  <si>
    <t>England</t>
  </si>
  <si>
    <t>Croatia</t>
  </si>
  <si>
    <t>Ghana</t>
  </si>
  <si>
    <t>Panama</t>
  </si>
  <si>
    <t>Uzbekistan</t>
  </si>
  <si>
    <t>Colombia</t>
  </si>
  <si>
    <t>2A</t>
  </si>
  <si>
    <t>2B</t>
  </si>
  <si>
    <t>1C</t>
  </si>
  <si>
    <t>2F</t>
  </si>
  <si>
    <t>1E</t>
  </si>
  <si>
    <t>3ABCDF</t>
  </si>
  <si>
    <t>1F</t>
  </si>
  <si>
    <t>2C</t>
  </si>
  <si>
    <t>2E</t>
  </si>
  <si>
    <t>2I</t>
  </si>
  <si>
    <t>1I</t>
  </si>
  <si>
    <t>3CDFGH</t>
  </si>
  <si>
    <t>1A</t>
  </si>
  <si>
    <t>3CEFHI</t>
  </si>
  <si>
    <t>1L</t>
  </si>
  <si>
    <t>3EHIJK</t>
  </si>
  <si>
    <t>1G</t>
  </si>
  <si>
    <t>3AEHIJ</t>
  </si>
  <si>
    <t>1D</t>
  </si>
  <si>
    <t>3BEFIJ</t>
  </si>
  <si>
    <t>1H</t>
  </si>
  <si>
    <t>2J</t>
  </si>
  <si>
    <t>2K</t>
  </si>
  <si>
    <t>2L</t>
  </si>
  <si>
    <t>3EFGIJ</t>
  </si>
  <si>
    <t>2D</t>
  </si>
  <si>
    <t>2G</t>
  </si>
  <si>
    <t>1J</t>
  </si>
  <si>
    <t>2H</t>
  </si>
  <si>
    <t>1K</t>
  </si>
  <si>
    <t>3DEIJL</t>
  </si>
  <si>
    <t>W73</t>
  </si>
  <si>
    <t>W75</t>
  </si>
  <si>
    <t>W74</t>
  </si>
  <si>
    <t>W77</t>
  </si>
  <si>
    <t>W76</t>
  </si>
  <si>
    <t>W78</t>
  </si>
  <si>
    <t>W79</t>
  </si>
  <si>
    <t>W80</t>
  </si>
  <si>
    <t>W83</t>
  </si>
  <si>
    <t>W84</t>
  </si>
  <si>
    <t>W81</t>
  </si>
  <si>
    <t>W82</t>
  </si>
  <si>
    <t>W86</t>
  </si>
  <si>
    <t>W88</t>
  </si>
  <si>
    <t>W85</t>
  </si>
  <si>
    <t>W87</t>
  </si>
  <si>
    <t>W89</t>
  </si>
  <si>
    <t>W90</t>
  </si>
  <si>
    <t>W93</t>
  </si>
  <si>
    <t>W94</t>
  </si>
  <si>
    <t>W91</t>
  </si>
  <si>
    <t>W92</t>
  </si>
  <si>
    <t>W95</t>
  </si>
  <si>
    <t>W96</t>
  </si>
  <si>
    <t>Arrowhead Stadium</t>
  </si>
  <si>
    <t>W97</t>
  </si>
  <si>
    <t>W98</t>
  </si>
  <si>
    <t>W99</t>
  </si>
  <si>
    <t>W100</t>
  </si>
  <si>
    <t>L101</t>
  </si>
  <si>
    <t>L102</t>
  </si>
  <si>
    <t>W191</t>
  </si>
  <si>
    <t>W102</t>
  </si>
  <si>
    <t>Prediction_ID</t>
  </si>
  <si>
    <t>User_Email</t>
  </si>
  <si>
    <t>Predict_A</t>
  </si>
  <si>
    <t>Predict_B</t>
  </si>
  <si>
    <t>Points</t>
  </si>
  <si>
    <t>Last_Updated_By</t>
  </si>
  <si>
    <t>Last_Updated_At</t>
  </si>
  <si>
    <t>Ball</t>
  </si>
  <si>
    <t>Been</t>
  </si>
  <si>
    <t>Faro</t>
  </si>
  <si>
    <t>Oat</t>
  </si>
  <si>
    <t>Kob</t>
  </si>
  <si>
    <t>Aof</t>
  </si>
  <si>
    <t>Ice</t>
  </si>
  <si>
    <t>siriwit.ice@gmail.com</t>
  </si>
  <si>
    <t>Golf</t>
  </si>
  <si>
    <t>Mun</t>
  </si>
  <si>
    <t>Mig</t>
  </si>
  <si>
    <t>Total_Score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</si>
</sst>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dd&quot;, &quot;mmmm&quot; &quot;d&quot;, at &quot;h&quot;:&quot;mm&quot; &quot;AM/PM"/>
    <numFmt numFmtId="165" formatCode="m/d/yyyy\ h:mm:ss"/>
  </numFmts>
  <fonts count="9">
    <font>
      <sz val="10"/>
      <color rgb="FF000000"/>
      <name val="Arial"/>
      <scheme val="minor"/>
    </font>
    <font>
      <b/>
      <sz val="16"/>
      <color rgb="FF1F497D"/>
      <name val="Arial"/>
    </font>
    <font>
      <sz val="11"/>
      <color theme="1"/>
      <name val="Arial"/>
    </font>
    <font>
      <b/>
      <sz val="11"/>
      <color theme="1"/>
      <name val="Arial"/>
    </font>
    <font>
      <sz val="10"/>
      <color rgb="FF1F1F1F"/>
      <name val="&quot;Google Sans Text&quot;"/>
    </font>
    <font>
      <sz val="10"/>
      <color rgb="FF000000"/>
      <name val="Arial"/>
      <scheme val="minor"/>
    </font>
    <font>
      <b/>
      <sz val="10"/>
      <color rgb="FF1F1F1F"/>
      <name val="&quot;Google Sans Text&quot;"/>
    </font>
    <font>
      <sz val="10"/>
      <color theme="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/>
    <xf numFmtId="0" fontId="5" fillId="0" borderId="0" xfId="0" applyFont="1"/>
    <xf numFmtId="0" fontId="6" fillId="0" borderId="0" xfId="0" applyFont="1" applyAlignment="1"/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1" xfId="0" applyFont="1" applyBorder="1" applyAlignment="1"/>
    <xf numFmtId="0" fontId="7" fillId="0" borderId="0" xfId="0" applyFont="1" applyAlignment="1">
      <alignment horizontal="center"/>
    </xf>
    <xf numFmtId="0" fontId="4" fillId="0" borderId="1" xfId="0" applyFont="1" applyBorder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2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Predictions (ทายผล)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  <tableStyle name="ผลคะแนน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61">
  <tableColumns count="10">
    <tableColumn id="1" xr3:uid="{00000000-0010-0000-0000-000001000000}" name="Prediction_ID"/>
    <tableColumn id="2" xr3:uid="{00000000-0010-0000-0000-000002000000}" name="User_Email"/>
    <tableColumn id="3" xr3:uid="{00000000-0010-0000-0000-000003000000}" name="Match_ID"/>
    <tableColumn id="4" xr3:uid="{00000000-0010-0000-0000-000004000000}" name="Team_A"/>
    <tableColumn id="5" xr3:uid="{00000000-0010-0000-0000-000005000000}" name="Predict_A"/>
    <tableColumn id="6" xr3:uid="{00000000-0010-0000-0000-000006000000}" name="Team_B"/>
    <tableColumn id="7" xr3:uid="{00000000-0010-0000-0000-000007000000}" name="Predict_B"/>
    <tableColumn id="8" xr3:uid="{00000000-0010-0000-0000-000008000000}" name="Points"/>
    <tableColumn id="9" xr3:uid="{00000000-0010-0000-0000-000009000000}" name="Last_Updated_By"/>
    <tableColumn id="10" xr3:uid="{00000000-0010-0000-0000-00000A000000}" name="Last_Updated_At"/>
  </tableColumns>
  <tableStyleInfo name="Predictions (ทายผล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2:A11" headerRowCount="0">
  <tableColumns count="1">
    <tableColumn id="1" xr3:uid="{00000000-0010-0000-0100-000001000000}" name="Column1"/>
  </tableColumns>
  <tableStyleInfo name="ผลคะแนน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/>
  </sheetViews>
  <sheetFormatPr defaultColWidth="12.5703125" defaultRowHeight="15.75" customHeight="1"/>
  <cols>
    <col min="1" max="1" width="30.5703125" customWidth="1"/>
    <col min="2" max="2" width="74.42578125" customWidth="1"/>
    <col min="3" max="26" width="7.5703125" customWidth="1"/>
  </cols>
  <sheetData>
    <row r="1" spans="1:2" ht="34.5" customHeight="1">
      <c r="A1" s="1" t="s">
        <v>0</v>
      </c>
    </row>
    <row r="2" spans="1:2" ht="19.5" customHeight="1">
      <c r="A2" s="2"/>
      <c r="B2" s="2"/>
    </row>
    <row r="3" spans="1:2" ht="19.5" customHeight="1">
      <c r="A3" s="2" t="s">
        <v>1</v>
      </c>
      <c r="B3" s="2"/>
    </row>
    <row r="4" spans="1:2" ht="19.5" customHeight="1">
      <c r="A4" s="2"/>
      <c r="B4" s="2"/>
    </row>
    <row r="5" spans="1:2" ht="19.5" customHeight="1">
      <c r="A5" s="3" t="s">
        <v>2</v>
      </c>
      <c r="B5" s="2"/>
    </row>
    <row r="6" spans="1:2" ht="19.5" customHeight="1">
      <c r="A6" s="3" t="s">
        <v>3</v>
      </c>
      <c r="B6" s="2" t="s">
        <v>4</v>
      </c>
    </row>
    <row r="7" spans="1:2" ht="19.5" customHeight="1">
      <c r="A7" s="3" t="s">
        <v>5</v>
      </c>
      <c r="B7" s="2" t="s">
        <v>6</v>
      </c>
    </row>
    <row r="8" spans="1:2" ht="19.5" customHeight="1">
      <c r="A8" s="3" t="s">
        <v>7</v>
      </c>
      <c r="B8" s="2" t="s">
        <v>8</v>
      </c>
    </row>
    <row r="9" spans="1:2" ht="19.5" customHeight="1">
      <c r="A9" s="2"/>
      <c r="B9" s="2"/>
    </row>
    <row r="10" spans="1:2" ht="19.5" customHeight="1">
      <c r="A10" s="3" t="s">
        <v>9</v>
      </c>
      <c r="B10" s="2"/>
    </row>
    <row r="11" spans="1:2" ht="19.5" customHeight="1">
      <c r="A11" s="2" t="s">
        <v>10</v>
      </c>
      <c r="B11" s="2" t="s">
        <v>11</v>
      </c>
    </row>
    <row r="12" spans="1:2" ht="19.5" customHeight="1">
      <c r="A12" s="2" t="s">
        <v>12</v>
      </c>
      <c r="B12" s="2" t="s">
        <v>13</v>
      </c>
    </row>
    <row r="13" spans="1:2" ht="19.5" customHeight="1">
      <c r="A13" s="2" t="s">
        <v>14</v>
      </c>
      <c r="B13" s="2" t="s">
        <v>15</v>
      </c>
    </row>
    <row r="21" ht="12.75"/>
    <row r="22" ht="12.75"/>
    <row r="23" ht="12.75"/>
    <row r="24" ht="12.75"/>
    <row r="25" ht="12.75"/>
    <row r="26" ht="12.75"/>
    <row r="27" ht="12.75"/>
    <row r="28" ht="12.75"/>
    <row r="29" ht="12.75"/>
    <row r="30" ht="12.75"/>
    <row r="31" ht="12.75"/>
    <row r="32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/>
  </sheetViews>
  <sheetFormatPr defaultColWidth="12.5703125" defaultRowHeight="15.75" customHeight="1"/>
  <cols>
    <col min="1" max="1" width="8.7109375" customWidth="1"/>
    <col min="2" max="2" width="26.42578125" customWidth="1"/>
    <col min="3" max="3" width="15.28515625" customWidth="1"/>
    <col min="4" max="4" width="14.7109375" customWidth="1"/>
  </cols>
  <sheetData>
    <row r="1" spans="1:2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>
      <c r="A2" s="6">
        <v>1</v>
      </c>
      <c r="B2" s="7">
        <v>46184.625</v>
      </c>
      <c r="C2" s="8" t="s">
        <v>25</v>
      </c>
      <c r="D2" s="8" t="s">
        <v>26</v>
      </c>
      <c r="E2" s="9"/>
      <c r="F2" s="9"/>
      <c r="G2" s="4" t="s">
        <v>27</v>
      </c>
      <c r="H2" s="4" t="s">
        <v>28</v>
      </c>
      <c r="I2" s="4" t="s">
        <v>29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>
      <c r="A3" s="6">
        <v>2</v>
      </c>
      <c r="B3" s="7">
        <v>46184.916666666664</v>
      </c>
      <c r="C3" s="8" t="s">
        <v>30</v>
      </c>
      <c r="D3" s="10" t="s">
        <v>31</v>
      </c>
      <c r="E3" s="9"/>
      <c r="F3" s="9"/>
      <c r="G3" s="4" t="s">
        <v>27</v>
      </c>
      <c r="H3" s="4" t="s">
        <v>32</v>
      </c>
      <c r="I3" s="4" t="s">
        <v>33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>
      <c r="A4" s="6">
        <v>3</v>
      </c>
      <c r="B4" s="7">
        <v>46185.625</v>
      </c>
      <c r="C4" s="8" t="s">
        <v>34</v>
      </c>
      <c r="D4" s="10" t="s">
        <v>35</v>
      </c>
      <c r="E4" s="11"/>
      <c r="F4" s="11"/>
      <c r="G4" s="4" t="s">
        <v>27</v>
      </c>
      <c r="H4" s="4" t="s">
        <v>36</v>
      </c>
      <c r="I4" s="4" t="s">
        <v>37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>
      <c r="A5" s="6">
        <v>4</v>
      </c>
      <c r="B5" s="7">
        <v>46185.875</v>
      </c>
      <c r="C5" s="8" t="s">
        <v>38</v>
      </c>
      <c r="D5" s="8" t="s">
        <v>39</v>
      </c>
      <c r="E5" s="11"/>
      <c r="F5" s="11"/>
      <c r="G5" s="4" t="s">
        <v>27</v>
      </c>
      <c r="H5" s="4" t="s">
        <v>40</v>
      </c>
      <c r="I5" s="4" t="s">
        <v>41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>
      <c r="A6" s="6">
        <v>5</v>
      </c>
      <c r="B6" s="7">
        <v>46186.625</v>
      </c>
      <c r="C6" s="8" t="s">
        <v>42</v>
      </c>
      <c r="D6" s="8" t="s">
        <v>43</v>
      </c>
      <c r="E6" s="11"/>
      <c r="F6" s="11"/>
      <c r="G6" s="4" t="s">
        <v>27</v>
      </c>
      <c r="H6" s="4" t="s">
        <v>44</v>
      </c>
      <c r="I6" s="4" t="s">
        <v>45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>
      <c r="A7" s="6">
        <v>6</v>
      </c>
      <c r="B7" s="7">
        <v>46186.75</v>
      </c>
      <c r="C7" s="8" t="s">
        <v>46</v>
      </c>
      <c r="D7" s="8" t="s">
        <v>47</v>
      </c>
      <c r="E7" s="11"/>
      <c r="F7" s="11"/>
      <c r="G7" s="4" t="s">
        <v>27</v>
      </c>
      <c r="H7" s="4" t="s">
        <v>48</v>
      </c>
      <c r="I7" s="4" t="s">
        <v>49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>
      <c r="A8" s="6">
        <v>7</v>
      </c>
      <c r="B8" s="7">
        <v>46186.875</v>
      </c>
      <c r="C8" s="8" t="s">
        <v>50</v>
      </c>
      <c r="D8" s="8" t="s">
        <v>51</v>
      </c>
      <c r="E8" s="11"/>
      <c r="F8" s="11"/>
      <c r="G8" s="4" t="s">
        <v>27</v>
      </c>
      <c r="H8" s="4" t="s">
        <v>52</v>
      </c>
      <c r="I8" s="4" t="s">
        <v>53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>
      <c r="A9" s="6">
        <v>8</v>
      </c>
      <c r="B9" s="7">
        <v>46186.999305555553</v>
      </c>
      <c r="C9" s="8" t="s">
        <v>54</v>
      </c>
      <c r="D9" s="10" t="s">
        <v>55</v>
      </c>
      <c r="E9" s="11"/>
      <c r="F9" s="11"/>
      <c r="G9" s="4" t="s">
        <v>27</v>
      </c>
      <c r="H9" s="4" t="s">
        <v>56</v>
      </c>
      <c r="I9" s="4" t="s">
        <v>57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>
      <c r="A10" s="6">
        <v>9</v>
      </c>
      <c r="B10" s="7">
        <v>46187.541666666664</v>
      </c>
      <c r="C10" s="8" t="s">
        <v>58</v>
      </c>
      <c r="D10" s="8" t="s">
        <v>59</v>
      </c>
      <c r="E10" s="11"/>
      <c r="F10" s="11"/>
      <c r="G10" s="4" t="s">
        <v>27</v>
      </c>
      <c r="H10" s="4" t="s">
        <v>60</v>
      </c>
      <c r="I10" s="4" t="s">
        <v>61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>
      <c r="A11" s="6">
        <v>10</v>
      </c>
      <c r="B11" s="7">
        <v>46187.666666666664</v>
      </c>
      <c r="C11" s="8" t="s">
        <v>62</v>
      </c>
      <c r="D11" s="8" t="s">
        <v>63</v>
      </c>
      <c r="E11" s="11"/>
      <c r="F11" s="11"/>
      <c r="G11" s="4" t="s">
        <v>27</v>
      </c>
      <c r="H11" s="4" t="s">
        <v>64</v>
      </c>
      <c r="I11" s="4" t="s">
        <v>65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>
      <c r="A12" s="6">
        <v>11</v>
      </c>
      <c r="B12" s="7">
        <v>46187.791666666664</v>
      </c>
      <c r="C12" s="8" t="s">
        <v>66</v>
      </c>
      <c r="D12" s="8" t="s">
        <v>67</v>
      </c>
      <c r="E12" s="11"/>
      <c r="F12" s="11"/>
      <c r="G12" s="4" t="s">
        <v>27</v>
      </c>
      <c r="H12" s="4" t="s">
        <v>68</v>
      </c>
      <c r="I12" s="4" t="s">
        <v>69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>
      <c r="A13" s="6">
        <v>12</v>
      </c>
      <c r="B13" s="7">
        <v>46187.916666666664</v>
      </c>
      <c r="C13" s="10" t="s">
        <v>70</v>
      </c>
      <c r="D13" s="8" t="s">
        <v>71</v>
      </c>
      <c r="E13" s="11"/>
      <c r="F13" s="11"/>
      <c r="G13" s="4" t="s">
        <v>27</v>
      </c>
      <c r="H13" s="4" t="s">
        <v>72</v>
      </c>
      <c r="I13" s="4" t="s">
        <v>73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>
      <c r="A14" s="6">
        <v>13</v>
      </c>
      <c r="B14" s="7">
        <v>46188.5</v>
      </c>
      <c r="C14" s="8" t="s">
        <v>74</v>
      </c>
      <c r="D14" s="8" t="s">
        <v>75</v>
      </c>
      <c r="E14" s="11"/>
      <c r="F14" s="11"/>
      <c r="G14" s="4" t="s">
        <v>27</v>
      </c>
      <c r="H14" s="4" t="s">
        <v>76</v>
      </c>
      <c r="I14" s="4" t="s">
        <v>77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>
      <c r="A15" s="6">
        <v>14</v>
      </c>
      <c r="B15" s="7">
        <v>46188.625</v>
      </c>
      <c r="C15" s="8" t="s">
        <v>78</v>
      </c>
      <c r="D15" s="8" t="s">
        <v>79</v>
      </c>
      <c r="E15" s="11"/>
      <c r="F15" s="11"/>
      <c r="G15" s="4" t="s">
        <v>27</v>
      </c>
      <c r="H15" s="4" t="s">
        <v>80</v>
      </c>
      <c r="I15" s="4" t="s">
        <v>81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>
      <c r="A16" s="6">
        <v>15</v>
      </c>
      <c r="B16" s="7">
        <v>46188.75</v>
      </c>
      <c r="C16" s="8" t="s">
        <v>82</v>
      </c>
      <c r="D16" s="8" t="s">
        <v>83</v>
      </c>
      <c r="E16" s="11"/>
      <c r="F16" s="11"/>
      <c r="G16" s="4" t="s">
        <v>27</v>
      </c>
      <c r="H16" s="4" t="s">
        <v>84</v>
      </c>
      <c r="I16" s="4" t="s">
        <v>85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>
      <c r="A17" s="6">
        <v>16</v>
      </c>
      <c r="B17" s="7">
        <v>46188.875</v>
      </c>
      <c r="C17" s="8" t="s">
        <v>86</v>
      </c>
      <c r="D17" s="8" t="s">
        <v>87</v>
      </c>
      <c r="E17" s="11"/>
      <c r="F17" s="11"/>
      <c r="G17" s="4" t="s">
        <v>27</v>
      </c>
      <c r="H17" s="4" t="s">
        <v>40</v>
      </c>
      <c r="I17" s="4" t="s">
        <v>41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>
      <c r="A18" s="6">
        <v>17</v>
      </c>
      <c r="B18" s="7">
        <v>46189.625</v>
      </c>
      <c r="C18" s="8" t="s">
        <v>88</v>
      </c>
      <c r="D18" s="8" t="s">
        <v>89</v>
      </c>
      <c r="E18" s="11"/>
      <c r="F18" s="11"/>
      <c r="G18" s="4" t="s">
        <v>27</v>
      </c>
      <c r="H18" s="4" t="s">
        <v>48</v>
      </c>
      <c r="I18" s="4" t="s">
        <v>49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>
      <c r="A19" s="6">
        <v>18</v>
      </c>
      <c r="B19" s="7">
        <v>46189.75</v>
      </c>
      <c r="C19" s="10" t="s">
        <v>90</v>
      </c>
      <c r="D19" s="8" t="s">
        <v>91</v>
      </c>
      <c r="E19" s="11"/>
      <c r="F19" s="11"/>
      <c r="G19" s="4" t="s">
        <v>27</v>
      </c>
      <c r="H19" s="4" t="s">
        <v>52</v>
      </c>
      <c r="I19" s="4" t="s">
        <v>53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>
      <c r="A20" s="6">
        <v>19</v>
      </c>
      <c r="B20" s="7">
        <v>46189.875</v>
      </c>
      <c r="C20" s="8" t="s">
        <v>92</v>
      </c>
      <c r="D20" s="8" t="s">
        <v>93</v>
      </c>
      <c r="E20" s="11"/>
      <c r="F20" s="11"/>
      <c r="G20" s="4" t="s">
        <v>27</v>
      </c>
      <c r="H20" s="4" t="s">
        <v>94</v>
      </c>
      <c r="I20" s="4" t="s">
        <v>95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>
      <c r="A21" s="6">
        <v>20</v>
      </c>
      <c r="B21" s="7">
        <v>46189.999305555553</v>
      </c>
      <c r="C21" s="8" t="s">
        <v>96</v>
      </c>
      <c r="D21" s="8" t="s">
        <v>97</v>
      </c>
      <c r="E21" s="11"/>
      <c r="F21" s="11"/>
      <c r="G21" s="4" t="s">
        <v>27</v>
      </c>
      <c r="H21" s="4" t="s">
        <v>44</v>
      </c>
      <c r="I21" s="4" t="s">
        <v>45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>
      <c r="A22" s="6">
        <v>21</v>
      </c>
      <c r="B22" s="7">
        <v>46190.541666666664</v>
      </c>
      <c r="C22" s="8" t="s">
        <v>98</v>
      </c>
      <c r="D22" s="10" t="s">
        <v>99</v>
      </c>
      <c r="E22" s="11"/>
      <c r="F22" s="11"/>
      <c r="G22" s="4" t="s">
        <v>27</v>
      </c>
      <c r="H22" s="4" t="s">
        <v>36</v>
      </c>
      <c r="I22" s="4" t="s">
        <v>37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>
      <c r="A23" s="6">
        <v>22</v>
      </c>
      <c r="B23" s="7">
        <v>46190.666666666664</v>
      </c>
      <c r="C23" s="8" t="s">
        <v>100</v>
      </c>
      <c r="D23" s="8" t="s">
        <v>101</v>
      </c>
      <c r="E23" s="11"/>
      <c r="F23" s="11"/>
      <c r="G23" s="4" t="s">
        <v>27</v>
      </c>
      <c r="H23" s="4" t="s">
        <v>72</v>
      </c>
      <c r="I23" s="4" t="s">
        <v>73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>
      <c r="A24" s="6">
        <v>23</v>
      </c>
      <c r="B24" s="7">
        <v>46190.791666666664</v>
      </c>
      <c r="C24" s="8" t="s">
        <v>102</v>
      </c>
      <c r="D24" s="8" t="s">
        <v>103</v>
      </c>
      <c r="E24" s="11"/>
      <c r="F24" s="11"/>
      <c r="G24" s="4" t="s">
        <v>27</v>
      </c>
      <c r="H24" s="4" t="s">
        <v>76</v>
      </c>
      <c r="I24" s="4" t="s">
        <v>77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>
      <c r="A25" s="6">
        <v>24</v>
      </c>
      <c r="B25" s="7">
        <v>46190.916666666664</v>
      </c>
      <c r="C25" s="8" t="s">
        <v>104</v>
      </c>
      <c r="D25" s="8" t="s">
        <v>105</v>
      </c>
      <c r="E25" s="11"/>
      <c r="F25" s="11"/>
      <c r="G25" s="4" t="s">
        <v>27</v>
      </c>
      <c r="H25" s="4" t="s">
        <v>60</v>
      </c>
      <c r="I25" s="4" t="s">
        <v>61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>
      <c r="A26" s="6">
        <v>25</v>
      </c>
      <c r="B26" s="7">
        <v>46191.5</v>
      </c>
      <c r="C26" s="10" t="s">
        <v>31</v>
      </c>
      <c r="D26" s="8" t="s">
        <v>26</v>
      </c>
      <c r="E26" s="11"/>
      <c r="F26" s="11"/>
      <c r="G26" s="4" t="s">
        <v>27</v>
      </c>
      <c r="H26" s="4" t="s">
        <v>80</v>
      </c>
      <c r="I26" s="4" t="s">
        <v>81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>
      <c r="A27" s="6">
        <v>26</v>
      </c>
      <c r="B27" s="7">
        <v>46191.625</v>
      </c>
      <c r="C27" s="8" t="s">
        <v>43</v>
      </c>
      <c r="D27" s="10" t="s">
        <v>35</v>
      </c>
      <c r="E27" s="11"/>
      <c r="F27" s="11"/>
      <c r="G27" s="4" t="s">
        <v>27</v>
      </c>
      <c r="H27" s="4" t="s">
        <v>28</v>
      </c>
      <c r="I27" s="4" t="s">
        <v>29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>
      <c r="A28" s="6">
        <v>27</v>
      </c>
      <c r="B28" s="7">
        <v>46191.75</v>
      </c>
      <c r="C28" s="8" t="s">
        <v>34</v>
      </c>
      <c r="D28" s="8" t="s">
        <v>42</v>
      </c>
      <c r="E28" s="11"/>
      <c r="F28" s="11"/>
      <c r="G28" s="4" t="s">
        <v>27</v>
      </c>
      <c r="H28" s="4" t="s">
        <v>84</v>
      </c>
      <c r="I28" s="4" t="s">
        <v>85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>
      <c r="A29" s="6">
        <v>28</v>
      </c>
      <c r="B29" s="7">
        <v>46191.875</v>
      </c>
      <c r="C29" s="8" t="s">
        <v>25</v>
      </c>
      <c r="D29" s="8" t="s">
        <v>30</v>
      </c>
      <c r="E29" s="11"/>
      <c r="F29" s="11"/>
      <c r="G29" s="4" t="s">
        <v>27</v>
      </c>
      <c r="H29" s="4" t="s">
        <v>94</v>
      </c>
      <c r="I29" s="4" t="s">
        <v>95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>
      <c r="A30" s="6">
        <v>29</v>
      </c>
      <c r="B30" s="7">
        <v>46192.625</v>
      </c>
      <c r="C30" s="8" t="s">
        <v>38</v>
      </c>
      <c r="D30" s="8" t="s">
        <v>54</v>
      </c>
      <c r="E30" s="11"/>
      <c r="F30" s="11"/>
      <c r="G30" s="4" t="s">
        <v>27</v>
      </c>
      <c r="H30" s="4" t="s">
        <v>52</v>
      </c>
      <c r="I30" s="4" t="s">
        <v>53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>
      <c r="A31" s="6">
        <v>30</v>
      </c>
      <c r="B31" s="7">
        <v>46192.75</v>
      </c>
      <c r="C31" s="8" t="s">
        <v>51</v>
      </c>
      <c r="D31" s="8" t="s">
        <v>47</v>
      </c>
      <c r="E31" s="11"/>
      <c r="F31" s="11"/>
      <c r="G31" s="4" t="s">
        <v>27</v>
      </c>
      <c r="H31" s="4" t="s">
        <v>68</v>
      </c>
      <c r="I31" s="4" t="s">
        <v>69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>
      <c r="A32" s="6">
        <v>31</v>
      </c>
      <c r="B32" s="7">
        <v>46192.875</v>
      </c>
      <c r="C32" s="8" t="s">
        <v>46</v>
      </c>
      <c r="D32" s="8" t="s">
        <v>50</v>
      </c>
      <c r="E32" s="11"/>
      <c r="F32" s="11"/>
      <c r="G32" s="4" t="s">
        <v>27</v>
      </c>
      <c r="H32" s="4" t="s">
        <v>56</v>
      </c>
      <c r="I32" s="4" t="s">
        <v>57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>
      <c r="A33" s="6">
        <v>32</v>
      </c>
      <c r="B33" s="7">
        <v>46192.999305555553</v>
      </c>
      <c r="C33" s="10" t="s">
        <v>55</v>
      </c>
      <c r="D33" s="8" t="s">
        <v>39</v>
      </c>
      <c r="E33" s="11"/>
      <c r="F33" s="11"/>
      <c r="G33" s="4" t="s">
        <v>27</v>
      </c>
      <c r="H33" s="4" t="s">
        <v>32</v>
      </c>
      <c r="I33" s="4" t="s">
        <v>33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>
      <c r="A34" s="6">
        <v>33</v>
      </c>
      <c r="B34" s="7">
        <v>46193.541666666664</v>
      </c>
      <c r="C34" s="8" t="s">
        <v>62</v>
      </c>
      <c r="D34" s="10" t="s">
        <v>70</v>
      </c>
      <c r="E34" s="11"/>
      <c r="F34" s="11"/>
      <c r="G34" s="4" t="s">
        <v>27</v>
      </c>
      <c r="H34" s="4" t="s">
        <v>48</v>
      </c>
      <c r="I34" s="4" t="s">
        <v>49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>
      <c r="A35" s="6">
        <v>34</v>
      </c>
      <c r="B35" s="7">
        <v>46193.666666666664</v>
      </c>
      <c r="C35" s="8" t="s">
        <v>58</v>
      </c>
      <c r="D35" s="8" t="s">
        <v>66</v>
      </c>
      <c r="E35" s="11"/>
      <c r="F35" s="11"/>
      <c r="G35" s="4" t="s">
        <v>27</v>
      </c>
      <c r="H35" s="4" t="s">
        <v>40</v>
      </c>
      <c r="I35" s="4" t="s">
        <v>41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>
      <c r="A36" s="6">
        <v>35</v>
      </c>
      <c r="B36" s="7">
        <v>46193.833333333336</v>
      </c>
      <c r="C36" s="8" t="s">
        <v>67</v>
      </c>
      <c r="D36" s="8" t="s">
        <v>59</v>
      </c>
      <c r="E36" s="11"/>
      <c r="F36" s="11"/>
      <c r="G36" s="4" t="s">
        <v>27</v>
      </c>
      <c r="H36" s="4" t="s">
        <v>84</v>
      </c>
      <c r="I36" s="4" t="s">
        <v>85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>
      <c r="A37" s="6">
        <v>36</v>
      </c>
      <c r="B37" s="7">
        <v>46193.999305555553</v>
      </c>
      <c r="C37" s="8" t="s">
        <v>71</v>
      </c>
      <c r="D37" s="8" t="s">
        <v>63</v>
      </c>
      <c r="E37" s="11"/>
      <c r="F37" s="11"/>
      <c r="G37" s="4" t="s">
        <v>27</v>
      </c>
      <c r="H37" s="4" t="s">
        <v>64</v>
      </c>
      <c r="I37" s="4" t="s">
        <v>65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>
      <c r="A38" s="6">
        <v>37</v>
      </c>
      <c r="B38" s="7">
        <v>46194.5</v>
      </c>
      <c r="C38" s="8" t="s">
        <v>74</v>
      </c>
      <c r="D38" s="8" t="s">
        <v>82</v>
      </c>
      <c r="E38" s="11"/>
      <c r="F38" s="11"/>
      <c r="G38" s="4" t="s">
        <v>27</v>
      </c>
      <c r="H38" s="4" t="s">
        <v>76</v>
      </c>
      <c r="I38" s="4" t="s">
        <v>77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>
      <c r="A39" s="6">
        <v>38</v>
      </c>
      <c r="B39" s="7">
        <v>46194.625</v>
      </c>
      <c r="C39" s="8" t="s">
        <v>78</v>
      </c>
      <c r="D39" s="8" t="s">
        <v>86</v>
      </c>
      <c r="E39" s="11"/>
      <c r="F39" s="11"/>
      <c r="G39" s="4" t="s">
        <v>27</v>
      </c>
      <c r="H39" s="4" t="s">
        <v>94</v>
      </c>
      <c r="I39" s="4" t="s">
        <v>95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>
      <c r="A40" s="6">
        <v>39</v>
      </c>
      <c r="B40" s="7">
        <v>46194.75</v>
      </c>
      <c r="C40" s="8" t="s">
        <v>83</v>
      </c>
      <c r="D40" s="8" t="s">
        <v>75</v>
      </c>
      <c r="E40" s="11"/>
      <c r="F40" s="11"/>
      <c r="G40" s="4" t="s">
        <v>27</v>
      </c>
      <c r="H40" s="4" t="s">
        <v>52</v>
      </c>
      <c r="I40" s="4" t="s">
        <v>53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>
      <c r="A41" s="6">
        <v>40</v>
      </c>
      <c r="B41" s="7">
        <v>46194.875</v>
      </c>
      <c r="C41" s="8" t="s">
        <v>87</v>
      </c>
      <c r="D41" s="8" t="s">
        <v>79</v>
      </c>
      <c r="E41" s="11"/>
      <c r="F41" s="11"/>
      <c r="G41" s="4" t="s">
        <v>27</v>
      </c>
      <c r="H41" s="4" t="s">
        <v>68</v>
      </c>
      <c r="I41" s="4" t="s">
        <v>69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>
      <c r="A42" s="6">
        <v>41</v>
      </c>
      <c r="B42" s="7">
        <v>46195.541666666664</v>
      </c>
      <c r="C42" s="8" t="s">
        <v>92</v>
      </c>
      <c r="D42" s="8" t="s">
        <v>96</v>
      </c>
      <c r="E42" s="11"/>
      <c r="F42" s="11"/>
      <c r="G42" s="4" t="s">
        <v>27</v>
      </c>
      <c r="H42" s="4" t="s">
        <v>56</v>
      </c>
      <c r="I42" s="4" t="s">
        <v>57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>
      <c r="A43" s="6">
        <v>42</v>
      </c>
      <c r="B43" s="7">
        <v>46195.708333333336</v>
      </c>
      <c r="C43" s="8" t="s">
        <v>88</v>
      </c>
      <c r="D43" s="10" t="s">
        <v>90</v>
      </c>
      <c r="E43" s="11"/>
      <c r="F43" s="11"/>
      <c r="G43" s="4" t="s">
        <v>27</v>
      </c>
      <c r="H43" s="4" t="s">
        <v>32</v>
      </c>
      <c r="I43" s="4" t="s">
        <v>33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>
      <c r="A44" s="6">
        <v>43</v>
      </c>
      <c r="B44" s="7">
        <v>46195.833333333336</v>
      </c>
      <c r="C44" s="8" t="s">
        <v>91</v>
      </c>
      <c r="D44" s="8" t="s">
        <v>89</v>
      </c>
      <c r="E44" s="11"/>
      <c r="F44" s="11"/>
      <c r="G44" s="4" t="s">
        <v>27</v>
      </c>
      <c r="H44" s="4" t="s">
        <v>48</v>
      </c>
      <c r="I44" s="4" t="s">
        <v>49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>
      <c r="A45" s="6">
        <v>44</v>
      </c>
      <c r="B45" s="7">
        <v>46195.958333333336</v>
      </c>
      <c r="C45" s="8" t="s">
        <v>97</v>
      </c>
      <c r="D45" s="8" t="s">
        <v>93</v>
      </c>
      <c r="E45" s="11"/>
      <c r="F45" s="11"/>
      <c r="G45" s="4" t="s">
        <v>27</v>
      </c>
      <c r="H45" s="4" t="s">
        <v>40</v>
      </c>
      <c r="I45" s="4" t="s">
        <v>41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>
      <c r="A46" s="6">
        <v>45</v>
      </c>
      <c r="B46" s="7">
        <v>46196.541666666664</v>
      </c>
      <c r="C46" s="8" t="s">
        <v>98</v>
      </c>
      <c r="D46" s="8" t="s">
        <v>104</v>
      </c>
      <c r="E46" s="11"/>
      <c r="F46" s="11"/>
      <c r="G46" s="4" t="s">
        <v>27</v>
      </c>
      <c r="H46" s="4" t="s">
        <v>84</v>
      </c>
      <c r="I46" s="4" t="s">
        <v>85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>
      <c r="A47" s="6">
        <v>46</v>
      </c>
      <c r="B47" s="7">
        <v>46196.666666666664</v>
      </c>
      <c r="C47" s="8" t="s">
        <v>100</v>
      </c>
      <c r="D47" s="8" t="s">
        <v>102</v>
      </c>
      <c r="E47" s="11"/>
      <c r="F47" s="11"/>
      <c r="G47" s="4" t="s">
        <v>27</v>
      </c>
      <c r="H47" s="4" t="s">
        <v>64</v>
      </c>
      <c r="I47" s="4" t="s">
        <v>65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>
      <c r="A48" s="6">
        <v>47</v>
      </c>
      <c r="B48" s="7">
        <v>46196.791666666664</v>
      </c>
      <c r="C48" s="8" t="s">
        <v>103</v>
      </c>
      <c r="D48" s="8" t="s">
        <v>101</v>
      </c>
      <c r="E48" s="11"/>
      <c r="F48" s="11"/>
      <c r="G48" s="4" t="s">
        <v>27</v>
      </c>
      <c r="H48" s="4" t="s">
        <v>76</v>
      </c>
      <c r="I48" s="4" t="s">
        <v>77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>
      <c r="A49" s="6">
        <v>48</v>
      </c>
      <c r="B49" s="7">
        <v>46196.916666666664</v>
      </c>
      <c r="C49" s="8" t="s">
        <v>105</v>
      </c>
      <c r="D49" s="10" t="s">
        <v>99</v>
      </c>
      <c r="E49" s="11"/>
      <c r="F49" s="11"/>
      <c r="G49" s="4" t="s">
        <v>27</v>
      </c>
      <c r="H49" s="4" t="s">
        <v>94</v>
      </c>
      <c r="I49" s="4" t="s">
        <v>95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>
      <c r="A50" s="6">
        <v>49</v>
      </c>
      <c r="B50" s="7">
        <v>46197.625</v>
      </c>
      <c r="C50" s="8" t="s">
        <v>43</v>
      </c>
      <c r="D50" s="8" t="s">
        <v>34</v>
      </c>
      <c r="E50" s="11"/>
      <c r="F50" s="11"/>
      <c r="G50" s="4" t="s">
        <v>27</v>
      </c>
      <c r="H50" s="4" t="s">
        <v>52</v>
      </c>
      <c r="I50" s="4" t="s">
        <v>53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>
      <c r="A51" s="6">
        <v>50</v>
      </c>
      <c r="B51" s="7">
        <v>46197.625</v>
      </c>
      <c r="C51" s="10" t="s">
        <v>35</v>
      </c>
      <c r="D51" s="8" t="s">
        <v>42</v>
      </c>
      <c r="E51" s="11"/>
      <c r="F51" s="11"/>
      <c r="G51" s="4" t="s">
        <v>27</v>
      </c>
      <c r="H51" s="4" t="s">
        <v>68</v>
      </c>
      <c r="I51" s="4" t="s">
        <v>69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>
      <c r="A52" s="6">
        <v>51</v>
      </c>
      <c r="B52" s="7">
        <v>46197.75</v>
      </c>
      <c r="C52" s="8" t="s">
        <v>51</v>
      </c>
      <c r="D52" s="8" t="s">
        <v>46</v>
      </c>
      <c r="E52" s="11"/>
      <c r="F52" s="11"/>
      <c r="G52" s="4" t="s">
        <v>27</v>
      </c>
      <c r="H52" s="4" t="s">
        <v>56</v>
      </c>
      <c r="I52" s="4" t="s">
        <v>57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>
      <c r="A53" s="6">
        <v>52</v>
      </c>
      <c r="B53" s="7">
        <v>46197.75</v>
      </c>
      <c r="C53" s="8" t="s">
        <v>47</v>
      </c>
      <c r="D53" s="8" t="s">
        <v>50</v>
      </c>
      <c r="E53" s="11"/>
      <c r="F53" s="11"/>
      <c r="G53" s="4" t="s">
        <v>27</v>
      </c>
      <c r="H53" s="4" t="s">
        <v>32</v>
      </c>
      <c r="I53" s="4" t="s">
        <v>33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>
      <c r="A54" s="6">
        <v>53</v>
      </c>
      <c r="B54" s="7">
        <v>46197.875</v>
      </c>
      <c r="C54" s="10" t="s">
        <v>31</v>
      </c>
      <c r="D54" s="8" t="s">
        <v>25</v>
      </c>
      <c r="E54" s="11"/>
      <c r="F54" s="11"/>
      <c r="G54" s="4" t="s">
        <v>27</v>
      </c>
      <c r="H54" s="4" t="s">
        <v>48</v>
      </c>
      <c r="I54" s="4" t="s">
        <v>49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>
      <c r="A55" s="6">
        <v>54</v>
      </c>
      <c r="B55" s="7">
        <v>46197.875</v>
      </c>
      <c r="C55" s="8" t="s">
        <v>26</v>
      </c>
      <c r="D55" s="8" t="s">
        <v>30</v>
      </c>
      <c r="E55" s="11"/>
      <c r="F55" s="11"/>
      <c r="G55" s="4" t="s">
        <v>27</v>
      </c>
      <c r="H55" s="4" t="s">
        <v>40</v>
      </c>
      <c r="I55" s="4" t="s">
        <v>41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>
      <c r="A56" s="6">
        <v>55</v>
      </c>
      <c r="B56" s="7">
        <v>46198.666666666664</v>
      </c>
      <c r="C56" s="8" t="s">
        <v>59</v>
      </c>
      <c r="D56" s="8" t="s">
        <v>66</v>
      </c>
      <c r="E56" s="11"/>
      <c r="F56" s="11"/>
      <c r="G56" s="4" t="s">
        <v>27</v>
      </c>
      <c r="H56" s="4" t="s">
        <v>84</v>
      </c>
      <c r="I56" s="4" t="s">
        <v>85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>
      <c r="A57" s="6">
        <v>56</v>
      </c>
      <c r="B57" s="7">
        <v>46198.666666666664</v>
      </c>
      <c r="C57" s="8" t="s">
        <v>67</v>
      </c>
      <c r="D57" s="8" t="s">
        <v>58</v>
      </c>
      <c r="E57" s="11"/>
      <c r="F57" s="11"/>
      <c r="G57" s="4" t="s">
        <v>27</v>
      </c>
      <c r="H57" s="4" t="s">
        <v>64</v>
      </c>
      <c r="I57" s="4" t="s">
        <v>65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>
      <c r="A58" s="6">
        <v>57</v>
      </c>
      <c r="B58" s="7">
        <v>46198.791666666664</v>
      </c>
      <c r="C58" s="8" t="s">
        <v>63</v>
      </c>
      <c r="D58" s="10" t="s">
        <v>70</v>
      </c>
      <c r="E58" s="11"/>
      <c r="F58" s="11"/>
      <c r="G58" s="4" t="s">
        <v>27</v>
      </c>
      <c r="H58" s="4" t="s">
        <v>76</v>
      </c>
      <c r="I58" s="4" t="s">
        <v>77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>
      <c r="A59" s="6">
        <v>58</v>
      </c>
      <c r="B59" s="7">
        <v>46198.791666666664</v>
      </c>
      <c r="C59" s="8" t="s">
        <v>71</v>
      </c>
      <c r="D59" s="8" t="s">
        <v>62</v>
      </c>
      <c r="E59" s="11"/>
      <c r="F59" s="11"/>
      <c r="G59" s="4" t="s">
        <v>27</v>
      </c>
      <c r="H59" s="4" t="s">
        <v>94</v>
      </c>
      <c r="I59" s="4" t="s">
        <v>95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>
      <c r="A60" s="6">
        <v>59</v>
      </c>
      <c r="B60" s="7">
        <v>46198.916666666664</v>
      </c>
      <c r="C60" s="10" t="s">
        <v>55</v>
      </c>
      <c r="D60" s="8" t="s">
        <v>38</v>
      </c>
      <c r="E60" s="11"/>
      <c r="F60" s="11"/>
      <c r="G60" s="4" t="s">
        <v>27</v>
      </c>
      <c r="H60" s="4" t="s">
        <v>52</v>
      </c>
      <c r="I60" s="4" t="s">
        <v>53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>
      <c r="A61" s="6">
        <v>60</v>
      </c>
      <c r="B61" s="7">
        <v>46198.916666666664</v>
      </c>
      <c r="C61" s="8" t="s">
        <v>39</v>
      </c>
      <c r="D61" s="8" t="s">
        <v>54</v>
      </c>
      <c r="E61" s="11"/>
      <c r="F61" s="11"/>
      <c r="G61" s="4" t="s">
        <v>27</v>
      </c>
      <c r="H61" s="4" t="s">
        <v>68</v>
      </c>
      <c r="I61" s="4" t="s">
        <v>69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>
      <c r="A62" s="6">
        <v>61</v>
      </c>
      <c r="B62" s="7">
        <v>46199.625</v>
      </c>
      <c r="C62" s="8" t="s">
        <v>91</v>
      </c>
      <c r="D62" s="8" t="s">
        <v>88</v>
      </c>
      <c r="E62" s="11"/>
      <c r="F62" s="11"/>
      <c r="G62" s="4" t="s">
        <v>27</v>
      </c>
      <c r="H62" s="4" t="s">
        <v>56</v>
      </c>
      <c r="I62" s="4" t="s">
        <v>57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>
      <c r="A63" s="6">
        <v>62</v>
      </c>
      <c r="B63" s="7">
        <v>46199.625</v>
      </c>
      <c r="C63" s="8" t="s">
        <v>89</v>
      </c>
      <c r="D63" s="10" t="s">
        <v>90</v>
      </c>
      <c r="E63" s="11"/>
      <c r="F63" s="11"/>
      <c r="G63" s="4" t="s">
        <v>27</v>
      </c>
      <c r="H63" s="4" t="s">
        <v>32</v>
      </c>
      <c r="I63" s="4" t="s">
        <v>33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>
      <c r="A64" s="6">
        <v>63</v>
      </c>
      <c r="B64" s="7">
        <v>46199.833333333336</v>
      </c>
      <c r="C64" s="8" t="s">
        <v>75</v>
      </c>
      <c r="D64" s="8" t="s">
        <v>82</v>
      </c>
      <c r="E64" s="11"/>
      <c r="F64" s="11"/>
      <c r="G64" s="4" t="s">
        <v>27</v>
      </c>
      <c r="H64" s="4" t="s">
        <v>48</v>
      </c>
      <c r="I64" s="4" t="s">
        <v>49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>
      <c r="A65" s="6">
        <v>64</v>
      </c>
      <c r="B65" s="7">
        <v>46199.833333333336</v>
      </c>
      <c r="C65" s="8" t="s">
        <v>83</v>
      </c>
      <c r="D65" s="8" t="s">
        <v>74</v>
      </c>
      <c r="E65" s="11"/>
      <c r="F65" s="11"/>
      <c r="G65" s="4" t="s">
        <v>27</v>
      </c>
      <c r="H65" s="4" t="s">
        <v>40</v>
      </c>
      <c r="I65" s="4" t="s">
        <v>41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>
      <c r="A66" s="6">
        <v>65</v>
      </c>
      <c r="B66" s="7">
        <v>46199.958333333336</v>
      </c>
      <c r="C66" s="8" t="s">
        <v>79</v>
      </c>
      <c r="D66" s="8" t="s">
        <v>86</v>
      </c>
      <c r="E66" s="11"/>
      <c r="F66" s="11"/>
      <c r="G66" s="4" t="s">
        <v>27</v>
      </c>
      <c r="H66" s="4" t="s">
        <v>84</v>
      </c>
      <c r="I66" s="4" t="s">
        <v>85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>
      <c r="A67" s="6">
        <v>66</v>
      </c>
      <c r="B67" s="7">
        <v>46199.958333333336</v>
      </c>
      <c r="C67" s="8" t="s">
        <v>87</v>
      </c>
      <c r="D67" s="8" t="s">
        <v>78</v>
      </c>
      <c r="E67" s="11"/>
      <c r="F67" s="11"/>
      <c r="G67" s="4" t="s">
        <v>27</v>
      </c>
      <c r="H67" s="4" t="s">
        <v>64</v>
      </c>
      <c r="I67" s="4" t="s">
        <v>65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>
      <c r="A68" s="6">
        <v>67</v>
      </c>
      <c r="B68" s="7">
        <v>46200.708333333336</v>
      </c>
      <c r="C68" s="8" t="s">
        <v>103</v>
      </c>
      <c r="D68" s="8" t="s">
        <v>100</v>
      </c>
      <c r="E68" s="11"/>
      <c r="F68" s="11"/>
      <c r="G68" s="4" t="s">
        <v>27</v>
      </c>
      <c r="H68" s="4" t="s">
        <v>76</v>
      </c>
      <c r="I68" s="4" t="s">
        <v>77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>
      <c r="A69" s="6">
        <v>68</v>
      </c>
      <c r="B69" s="7">
        <v>46200.708333333336</v>
      </c>
      <c r="C69" s="8" t="s">
        <v>101</v>
      </c>
      <c r="D69" s="8" t="s">
        <v>102</v>
      </c>
      <c r="E69" s="11"/>
      <c r="F69" s="11"/>
      <c r="G69" s="4" t="s">
        <v>27</v>
      </c>
      <c r="H69" s="4" t="s">
        <v>94</v>
      </c>
      <c r="I69" s="4" t="s">
        <v>95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>
      <c r="A70" s="6">
        <v>69</v>
      </c>
      <c r="B70" s="7">
        <v>46200.8125</v>
      </c>
      <c r="C70" s="8" t="s">
        <v>105</v>
      </c>
      <c r="D70" s="8" t="s">
        <v>98</v>
      </c>
      <c r="E70" s="11"/>
      <c r="F70" s="11"/>
      <c r="G70" s="4" t="s">
        <v>27</v>
      </c>
      <c r="H70" s="4" t="s">
        <v>52</v>
      </c>
      <c r="I70" s="4" t="s">
        <v>53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>
      <c r="A71" s="6">
        <v>70</v>
      </c>
      <c r="B71" s="7">
        <v>46200.8125</v>
      </c>
      <c r="C71" s="10" t="s">
        <v>99</v>
      </c>
      <c r="D71" s="8" t="s">
        <v>104</v>
      </c>
      <c r="E71" s="11"/>
      <c r="F71" s="11"/>
      <c r="G71" s="4" t="s">
        <v>27</v>
      </c>
      <c r="H71" s="4" t="s">
        <v>68</v>
      </c>
      <c r="I71" s="4" t="s">
        <v>69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>
      <c r="A72" s="6">
        <v>71</v>
      </c>
      <c r="B72" s="7">
        <v>46200.916666666664</v>
      </c>
      <c r="C72" s="8" t="s">
        <v>93</v>
      </c>
      <c r="D72" s="8" t="s">
        <v>96</v>
      </c>
      <c r="E72" s="11"/>
      <c r="F72" s="11"/>
      <c r="G72" s="4" t="s">
        <v>27</v>
      </c>
      <c r="H72" s="4" t="s">
        <v>56</v>
      </c>
      <c r="I72" s="4" t="s">
        <v>57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>
      <c r="A73" s="6">
        <v>72</v>
      </c>
      <c r="B73" s="7">
        <v>46200.916666666664</v>
      </c>
      <c r="C73" s="8" t="s">
        <v>97</v>
      </c>
      <c r="D73" s="8" t="s">
        <v>92</v>
      </c>
      <c r="E73" s="11"/>
      <c r="F73" s="11"/>
      <c r="G73" s="4" t="s">
        <v>27</v>
      </c>
      <c r="H73" s="4" t="s">
        <v>32</v>
      </c>
      <c r="I73" s="4" t="s">
        <v>33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>
      <c r="A74" s="6">
        <v>73</v>
      </c>
      <c r="B74" s="7">
        <v>46201.625</v>
      </c>
      <c r="C74" s="8" t="s">
        <v>106</v>
      </c>
      <c r="D74" s="8" t="s">
        <v>107</v>
      </c>
      <c r="E74" s="11"/>
      <c r="F74" s="11"/>
      <c r="G74" s="4" t="s">
        <v>27</v>
      </c>
      <c r="H74" s="4" t="s">
        <v>48</v>
      </c>
      <c r="I74" s="4" t="s">
        <v>49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>
      <c r="A75" s="6">
        <v>74</v>
      </c>
      <c r="B75" s="7">
        <v>46202.541666666664</v>
      </c>
      <c r="C75" s="8" t="s">
        <v>108</v>
      </c>
      <c r="D75" s="8" t="s">
        <v>109</v>
      </c>
      <c r="E75" s="11"/>
      <c r="F75" s="11"/>
      <c r="G75" s="4" t="s">
        <v>27</v>
      </c>
      <c r="H75" s="4" t="s">
        <v>40</v>
      </c>
      <c r="I75" s="4" t="s">
        <v>41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>
      <c r="A76" s="6">
        <v>75</v>
      </c>
      <c r="B76" s="7">
        <v>46202.6875</v>
      </c>
      <c r="C76" s="8" t="s">
        <v>110</v>
      </c>
      <c r="D76" s="8" t="s">
        <v>111</v>
      </c>
      <c r="E76" s="11"/>
      <c r="F76" s="11"/>
      <c r="G76" s="4" t="s">
        <v>27</v>
      </c>
      <c r="H76" s="4" t="s">
        <v>84</v>
      </c>
      <c r="I76" s="4" t="s">
        <v>85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>
      <c r="A77" s="6">
        <v>76</v>
      </c>
      <c r="B77" s="7">
        <v>46202.875</v>
      </c>
      <c r="C77" s="8" t="s">
        <v>112</v>
      </c>
      <c r="D77" s="8" t="s">
        <v>113</v>
      </c>
      <c r="E77" s="11"/>
      <c r="F77" s="11"/>
      <c r="G77" s="4" t="s">
        <v>27</v>
      </c>
      <c r="H77" s="4" t="s">
        <v>64</v>
      </c>
      <c r="I77" s="4" t="s">
        <v>65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>
      <c r="A78" s="6">
        <v>77</v>
      </c>
      <c r="B78" s="7">
        <v>46203.583333333336</v>
      </c>
      <c r="C78" s="8" t="s">
        <v>114</v>
      </c>
      <c r="D78" s="8" t="s">
        <v>115</v>
      </c>
      <c r="E78" s="11"/>
      <c r="F78" s="11"/>
      <c r="G78" s="4" t="s">
        <v>27</v>
      </c>
      <c r="H78" s="4" t="s">
        <v>76</v>
      </c>
      <c r="I78" s="4" t="s">
        <v>77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>
      <c r="A79" s="6">
        <v>78</v>
      </c>
      <c r="B79" s="7">
        <v>46203.708333333336</v>
      </c>
      <c r="C79" s="8" t="s">
        <v>116</v>
      </c>
      <c r="D79" s="8" t="s">
        <v>117</v>
      </c>
      <c r="E79" s="11"/>
      <c r="F79" s="11"/>
      <c r="G79" s="4" t="s">
        <v>27</v>
      </c>
      <c r="H79" s="4" t="s">
        <v>94</v>
      </c>
      <c r="I79" s="4" t="s">
        <v>95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>
      <c r="A80" s="6">
        <v>79</v>
      </c>
      <c r="B80" s="7">
        <v>46203.875</v>
      </c>
      <c r="C80" s="8" t="s">
        <v>118</v>
      </c>
      <c r="D80" s="8" t="s">
        <v>119</v>
      </c>
      <c r="E80" s="11"/>
      <c r="F80" s="11"/>
      <c r="G80" s="4" t="s">
        <v>27</v>
      </c>
      <c r="H80" s="4" t="s">
        <v>52</v>
      </c>
      <c r="I80" s="4" t="s">
        <v>53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>
      <c r="A81" s="6">
        <v>80</v>
      </c>
      <c r="B81" s="7">
        <v>46204.5</v>
      </c>
      <c r="C81" s="8" t="s">
        <v>120</v>
      </c>
      <c r="D81" s="8" t="s">
        <v>121</v>
      </c>
      <c r="E81" s="11"/>
      <c r="F81" s="11"/>
      <c r="G81" s="4" t="s">
        <v>27</v>
      </c>
      <c r="H81" s="4" t="s">
        <v>68</v>
      </c>
      <c r="I81" s="4" t="s">
        <v>69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>
      <c r="A82" s="6">
        <v>81</v>
      </c>
      <c r="B82" s="7">
        <v>46204.666666666664</v>
      </c>
      <c r="C82" s="8" t="s">
        <v>122</v>
      </c>
      <c r="D82" s="8" t="s">
        <v>123</v>
      </c>
      <c r="E82" s="11"/>
      <c r="F82" s="11"/>
      <c r="G82" s="4" t="s">
        <v>27</v>
      </c>
      <c r="H82" s="4" t="s">
        <v>56</v>
      </c>
      <c r="I82" s="4" t="s">
        <v>57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>
      <c r="A83" s="6">
        <v>82</v>
      </c>
      <c r="B83" s="7">
        <v>46204.833333333336</v>
      </c>
      <c r="C83" s="8" t="s">
        <v>124</v>
      </c>
      <c r="D83" s="8" t="s">
        <v>125</v>
      </c>
      <c r="E83" s="11"/>
      <c r="F83" s="11"/>
      <c r="G83" s="4" t="s">
        <v>27</v>
      </c>
      <c r="H83" s="4" t="s">
        <v>32</v>
      </c>
      <c r="I83" s="4" t="s">
        <v>33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>
      <c r="A84" s="6">
        <v>83</v>
      </c>
      <c r="B84" s="7">
        <v>46205.625</v>
      </c>
      <c r="C84" s="8" t="s">
        <v>126</v>
      </c>
      <c r="D84" s="8" t="s">
        <v>127</v>
      </c>
      <c r="E84" s="11"/>
      <c r="F84" s="11"/>
      <c r="G84" s="4" t="s">
        <v>27</v>
      </c>
      <c r="H84" s="4" t="s">
        <v>48</v>
      </c>
      <c r="I84" s="4" t="s">
        <v>49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>
      <c r="A85" s="6">
        <v>84</v>
      </c>
      <c r="B85" s="7">
        <v>46205.791666666664</v>
      </c>
      <c r="C85" s="8" t="s">
        <v>128</v>
      </c>
      <c r="D85" s="8" t="s">
        <v>129</v>
      </c>
      <c r="E85" s="11"/>
      <c r="F85" s="11"/>
      <c r="G85" s="4" t="s">
        <v>27</v>
      </c>
      <c r="H85" s="4" t="s">
        <v>40</v>
      </c>
      <c r="I85" s="4" t="s">
        <v>41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>
      <c r="A86" s="6">
        <v>85</v>
      </c>
      <c r="B86" s="7">
        <v>46205.958333333336</v>
      </c>
      <c r="C86" s="8" t="s">
        <v>107</v>
      </c>
      <c r="D86" s="8" t="s">
        <v>130</v>
      </c>
      <c r="E86" s="11"/>
      <c r="F86" s="11"/>
      <c r="G86" s="4" t="s">
        <v>27</v>
      </c>
      <c r="H86" s="4" t="s">
        <v>84</v>
      </c>
      <c r="I86" s="4" t="s">
        <v>85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>
      <c r="A87" s="6">
        <v>86</v>
      </c>
      <c r="B87" s="7">
        <v>46206.583333333336</v>
      </c>
      <c r="C87" s="8" t="s">
        <v>131</v>
      </c>
      <c r="D87" s="8" t="s">
        <v>132</v>
      </c>
      <c r="E87" s="11"/>
      <c r="F87" s="11"/>
      <c r="G87" s="4" t="s">
        <v>27</v>
      </c>
      <c r="H87" s="4" t="s">
        <v>64</v>
      </c>
      <c r="I87" s="4" t="s">
        <v>65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>
      <c r="A88" s="6">
        <v>87</v>
      </c>
      <c r="B88" s="7">
        <v>46206.75</v>
      </c>
      <c r="C88" s="8" t="s">
        <v>133</v>
      </c>
      <c r="D88" s="8" t="s">
        <v>134</v>
      </c>
      <c r="E88" s="11"/>
      <c r="F88" s="11"/>
      <c r="G88" s="4" t="s">
        <v>27</v>
      </c>
      <c r="H88" s="4" t="s">
        <v>76</v>
      </c>
      <c r="I88" s="4" t="s">
        <v>77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>
      <c r="A89" s="6">
        <v>88</v>
      </c>
      <c r="B89" s="7">
        <v>46206.895833333336</v>
      </c>
      <c r="C89" s="8" t="s">
        <v>135</v>
      </c>
      <c r="D89" s="8" t="s">
        <v>136</v>
      </c>
      <c r="E89" s="11"/>
      <c r="F89" s="11"/>
      <c r="G89" s="4" t="s">
        <v>27</v>
      </c>
      <c r="H89" s="4" t="s">
        <v>94</v>
      </c>
      <c r="I89" s="4" t="s">
        <v>95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>
      <c r="A90" s="6">
        <v>89</v>
      </c>
      <c r="B90" s="7">
        <v>46207.541666666664</v>
      </c>
      <c r="C90" s="8" t="s">
        <v>137</v>
      </c>
      <c r="D90" s="8" t="s">
        <v>138</v>
      </c>
      <c r="E90" s="11"/>
      <c r="F90" s="11"/>
      <c r="G90" s="4" t="s">
        <v>27</v>
      </c>
      <c r="H90" s="4" t="s">
        <v>52</v>
      </c>
      <c r="I90" s="4" t="s">
        <v>53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>
      <c r="A91" s="6">
        <v>90</v>
      </c>
      <c r="B91" s="7">
        <v>46207.708333333336</v>
      </c>
      <c r="C91" s="8" t="s">
        <v>139</v>
      </c>
      <c r="D91" s="8" t="s">
        <v>140</v>
      </c>
      <c r="E91" s="11"/>
      <c r="F91" s="11"/>
      <c r="G91" s="4" t="s">
        <v>27</v>
      </c>
      <c r="H91" s="4" t="s">
        <v>68</v>
      </c>
      <c r="I91" s="4" t="s">
        <v>69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>
      <c r="A92" s="6">
        <v>91</v>
      </c>
      <c r="B92" s="7">
        <v>46208.666666666664</v>
      </c>
      <c r="C92" s="8" t="s">
        <v>141</v>
      </c>
      <c r="D92" s="8" t="s">
        <v>142</v>
      </c>
      <c r="E92" s="11"/>
      <c r="F92" s="11"/>
      <c r="G92" s="4" t="s">
        <v>27</v>
      </c>
      <c r="H92" s="4" t="s">
        <v>56</v>
      </c>
      <c r="I92" s="4" t="s">
        <v>57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>
      <c r="A93" s="6">
        <v>92</v>
      </c>
      <c r="B93" s="7">
        <v>46208.833333333336</v>
      </c>
      <c r="C93" s="8" t="s">
        <v>143</v>
      </c>
      <c r="D93" s="8" t="s">
        <v>144</v>
      </c>
      <c r="E93" s="11"/>
      <c r="F93" s="11"/>
      <c r="G93" s="4" t="s">
        <v>27</v>
      </c>
      <c r="H93" s="4" t="s">
        <v>32</v>
      </c>
      <c r="I93" s="4" t="s">
        <v>33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>
      <c r="A94" s="6">
        <v>93</v>
      </c>
      <c r="B94" s="7">
        <v>46209.625</v>
      </c>
      <c r="C94" s="8" t="s">
        <v>145</v>
      </c>
      <c r="D94" s="8" t="s">
        <v>146</v>
      </c>
      <c r="E94" s="11"/>
      <c r="F94" s="11"/>
      <c r="G94" s="4" t="s">
        <v>27</v>
      </c>
      <c r="H94" s="4" t="s">
        <v>48</v>
      </c>
      <c r="I94" s="4" t="s">
        <v>49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>
      <c r="A95" s="6">
        <v>94</v>
      </c>
      <c r="B95" s="7">
        <v>46209.833333333336</v>
      </c>
      <c r="C95" s="8" t="s">
        <v>147</v>
      </c>
      <c r="D95" s="8" t="s">
        <v>148</v>
      </c>
      <c r="E95" s="11"/>
      <c r="F95" s="11"/>
      <c r="G95" s="4" t="s">
        <v>27</v>
      </c>
      <c r="H95" s="4" t="s">
        <v>40</v>
      </c>
      <c r="I95" s="4" t="s">
        <v>41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>
      <c r="A96" s="6">
        <v>95</v>
      </c>
      <c r="B96" s="7">
        <v>46210.5</v>
      </c>
      <c r="C96" s="8" t="s">
        <v>149</v>
      </c>
      <c r="D96" s="8" t="s">
        <v>150</v>
      </c>
      <c r="E96" s="11"/>
      <c r="F96" s="11"/>
      <c r="G96" s="4" t="s">
        <v>27</v>
      </c>
      <c r="H96" s="4" t="s">
        <v>84</v>
      </c>
      <c r="I96" s="4" t="s">
        <v>85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>
      <c r="A97" s="6">
        <v>96</v>
      </c>
      <c r="B97" s="7">
        <v>46210.666666666664</v>
      </c>
      <c r="C97" s="8" t="s">
        <v>151</v>
      </c>
      <c r="D97" s="8" t="s">
        <v>152</v>
      </c>
      <c r="E97" s="11"/>
      <c r="F97" s="11"/>
      <c r="G97" s="4" t="s">
        <v>27</v>
      </c>
      <c r="H97" s="4" t="s">
        <v>64</v>
      </c>
      <c r="I97" s="4" t="s">
        <v>65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>
      <c r="A98" s="6">
        <v>97</v>
      </c>
      <c r="B98" s="7">
        <v>46212.666666666664</v>
      </c>
      <c r="C98" s="8" t="s">
        <v>153</v>
      </c>
      <c r="D98" s="8" t="s">
        <v>154</v>
      </c>
      <c r="E98" s="11"/>
      <c r="F98" s="11"/>
      <c r="G98" s="4" t="s">
        <v>27</v>
      </c>
      <c r="H98" s="4" t="s">
        <v>52</v>
      </c>
      <c r="I98" s="4" t="s">
        <v>53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>
      <c r="A99" s="6">
        <v>98</v>
      </c>
      <c r="B99" s="7">
        <v>46213.625</v>
      </c>
      <c r="C99" s="8" t="s">
        <v>155</v>
      </c>
      <c r="D99" s="8" t="s">
        <v>156</v>
      </c>
      <c r="E99" s="11"/>
      <c r="F99" s="11"/>
      <c r="G99" s="4" t="s">
        <v>27</v>
      </c>
      <c r="H99" s="4" t="s">
        <v>40</v>
      </c>
      <c r="I99" s="4" t="s">
        <v>41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>
      <c r="A100" s="6">
        <v>99</v>
      </c>
      <c r="B100" s="7">
        <v>46214.708333333336</v>
      </c>
      <c r="C100" s="8" t="s">
        <v>157</v>
      </c>
      <c r="D100" s="8" t="s">
        <v>158</v>
      </c>
      <c r="E100" s="11"/>
      <c r="F100" s="11"/>
      <c r="G100" s="4" t="s">
        <v>27</v>
      </c>
      <c r="H100" s="4" t="s">
        <v>84</v>
      </c>
      <c r="I100" s="4" t="s">
        <v>85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>
      <c r="A101" s="6">
        <v>100</v>
      </c>
      <c r="B101" s="7">
        <v>46214.875</v>
      </c>
      <c r="C101" s="8" t="s">
        <v>159</v>
      </c>
      <c r="D101" s="8" t="s">
        <v>160</v>
      </c>
      <c r="E101" s="11"/>
      <c r="F101" s="11"/>
      <c r="G101" s="4" t="s">
        <v>27</v>
      </c>
      <c r="H101" s="4" t="s">
        <v>161</v>
      </c>
      <c r="I101" s="4" t="s">
        <v>95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>
      <c r="A102" s="6">
        <v>101</v>
      </c>
      <c r="B102" s="7">
        <v>46217.625</v>
      </c>
      <c r="C102" s="8" t="s">
        <v>162</v>
      </c>
      <c r="D102" s="8" t="s">
        <v>163</v>
      </c>
      <c r="E102" s="11"/>
      <c r="F102" s="11"/>
      <c r="G102" s="4" t="s">
        <v>27</v>
      </c>
      <c r="H102" s="4" t="s">
        <v>64</v>
      </c>
      <c r="I102" s="4" t="s">
        <v>65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>
      <c r="A103" s="6">
        <v>102</v>
      </c>
      <c r="B103" s="7">
        <v>46218.625</v>
      </c>
      <c r="C103" s="8" t="s">
        <v>164</v>
      </c>
      <c r="D103" s="8" t="s">
        <v>165</v>
      </c>
      <c r="E103" s="11"/>
      <c r="F103" s="11"/>
      <c r="G103" s="4" t="s">
        <v>27</v>
      </c>
      <c r="H103" s="4" t="s">
        <v>76</v>
      </c>
      <c r="I103" s="4" t="s">
        <v>77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>
      <c r="A104" s="6">
        <v>103</v>
      </c>
      <c r="B104" s="7">
        <v>46221.708333333336</v>
      </c>
      <c r="C104" s="8" t="s">
        <v>166</v>
      </c>
      <c r="D104" s="8" t="s">
        <v>167</v>
      </c>
      <c r="E104" s="11"/>
      <c r="F104" s="11"/>
      <c r="G104" s="4" t="s">
        <v>27</v>
      </c>
      <c r="H104" s="4" t="s">
        <v>84</v>
      </c>
      <c r="I104" s="4" t="s">
        <v>85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>
      <c r="A105" s="6">
        <v>104</v>
      </c>
      <c r="B105" s="7">
        <v>46222.625</v>
      </c>
      <c r="C105" s="8" t="s">
        <v>168</v>
      </c>
      <c r="D105" s="8" t="s">
        <v>169</v>
      </c>
      <c r="E105" s="11"/>
      <c r="F105" s="11"/>
      <c r="G105" s="4" t="s">
        <v>27</v>
      </c>
      <c r="H105" s="4" t="s">
        <v>48</v>
      </c>
      <c r="I105" s="4" t="s">
        <v>49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pane ySplit="1" topLeftCell="A2" activePane="bottomLeft" state="frozen"/>
      <selection pane="bottomLeft" activeCell="Q10" sqref="Q10"/>
    </sheetView>
  </sheetViews>
  <sheetFormatPr defaultColWidth="12.5703125" defaultRowHeight="15.75" customHeight="1"/>
  <cols>
    <col min="1" max="1" width="17.28515625" customWidth="1"/>
    <col min="2" max="2" width="18.7109375" customWidth="1"/>
    <col min="3" max="3" width="12.7109375" customWidth="1"/>
    <col min="4" max="7" width="14" customWidth="1"/>
    <col min="8" max="8" width="11.140625" customWidth="1"/>
    <col min="9" max="9" width="22.140625" customWidth="1"/>
    <col min="10" max="10" width="20.5703125" customWidth="1"/>
    <col min="11" max="28" width="7.5703125" customWidth="1"/>
  </cols>
  <sheetData>
    <row r="1" spans="1:10" ht="24.75" customHeight="1">
      <c r="A1" s="12" t="s">
        <v>170</v>
      </c>
      <c r="B1" s="12" t="s">
        <v>171</v>
      </c>
      <c r="C1" s="12" t="s">
        <v>16</v>
      </c>
      <c r="D1" s="13" t="s">
        <v>18</v>
      </c>
      <c r="E1" s="12" t="s">
        <v>172</v>
      </c>
      <c r="F1" s="13" t="s">
        <v>19</v>
      </c>
      <c r="G1" s="12" t="s">
        <v>173</v>
      </c>
      <c r="H1" s="12" t="s">
        <v>174</v>
      </c>
      <c r="I1" s="14" t="s">
        <v>175</v>
      </c>
      <c r="J1" s="14" t="s">
        <v>176</v>
      </c>
    </row>
    <row r="2" spans="1:10" ht="19.5" customHeight="1">
      <c r="A2" s="15" t="str">
        <f t="shared" ref="A2:A61" si="0">B2&amp;"_M"&amp;C2</f>
        <v>Ball_M1</v>
      </c>
      <c r="B2" s="16" t="s">
        <v>177</v>
      </c>
      <c r="C2" s="17">
        <v>1</v>
      </c>
      <c r="D2" s="15" t="str">
        <f>VLOOKUP(C2,'Matches (สำหรับแอดมิน)'!$A$2:$D$105,3,FALSE)</f>
        <v>Mexico</v>
      </c>
      <c r="E2" s="15">
        <v>2</v>
      </c>
      <c r="F2" s="15" t="str">
        <f>VLOOKUP(C2,'Matches (สำหรับแอดมิน)'!$A$2:$D$105,4,FALSE)</f>
        <v>South Africa</v>
      </c>
      <c r="G2" s="15">
        <v>0</v>
      </c>
      <c r="H2" s="18">
        <f>IF(VLOOKUP(C2,'Matches (สำหรับแอดมิน)'!$A$2:$G$100,7,FALSE)&lt;&gt;"จบแล้ว",0,
IF(
    AND(
        E2=VLOOKUP(C2,'Matches (สำหรับแอดมิน)'!$A$2:$G$100,5,FALSE),
        G2=VLOOKUP(C2,'Matches (สำหรับแอดมิน)'!$A$2:$G$100,6,FALSE)
    ),
    IF(
        AND(
            VLOOKUP(C2,'Matches (สำหรับแอดมิน)'!$A$2:$G$100,5,FALSE)=0,
            VLOOKUP(C2,'Matches (สำหรับแอดมิน)'!$A$2:$G$100,6,FALSE)=0
        ),
        4,
        3+
        VLOOKUP(C2,'Matches (สำหรับแอดมิน)'!$A$2:$G$100,5,FALSE)+
        VLOOKUP(C2,'Matches (สำหรับแอดมิน)'!$A$2:$G$100,6,FALSE)
    ),
    IF(
        OR(
            AND(
                VLOOKUP(C2,'Matches (สำหรับแอดมิน)'!$A$2:$G$100,5,FALSE)&gt;
                VLOOKUP(C2,'Matches (สำหรับแอดมิน)'!$A$2:$G$100,6,FALSE),
                E2&gt;G2
            ),
            AND(
                VLOOKUP(C2,'Matches (สำหรับแอดมิน)'!$A$2:$G$100,6,FALSE)&gt;
                VLOOKUP(C2,'Matches (สำหรับแอดมิน)'!$A$2:$G$100,5,FALSE),
                G2&gt;E2
            ),
            AND(
                VLOOKUP(C2,'Matches (สำหรับแอดมิน)'!$A$2:$G$100,5,FALSE)=
                VLOOKUP(C2,'Matches (สำหรับแอดมิน)'!$A$2:$G$100,6,FALSE),
                E2=G2
            )
        ),
        3,
        0
    )
))</f>
        <v>0</v>
      </c>
      <c r="I2" s="19"/>
      <c r="J2" s="19"/>
    </row>
    <row r="3" spans="1:10" ht="19.5" customHeight="1">
      <c r="A3" s="15" t="str">
        <f t="shared" si="0"/>
        <v>Been_M1</v>
      </c>
      <c r="B3" s="16" t="s">
        <v>178</v>
      </c>
      <c r="C3" s="17">
        <v>1</v>
      </c>
      <c r="D3" s="15" t="str">
        <f>VLOOKUP(C3,'Matches (สำหรับแอดมิน)'!$A$2:$D$105,3,FALSE)</f>
        <v>Mexico</v>
      </c>
      <c r="E3" s="15"/>
      <c r="F3" s="15" t="str">
        <f>VLOOKUP(C3,'Matches (สำหรับแอดมิน)'!$A$2:$D$105,4,FALSE)</f>
        <v>South Africa</v>
      </c>
      <c r="G3" s="15"/>
      <c r="H3" s="18">
        <f>IF(VLOOKUP(C3,'Matches (สำหรับแอดมิน)'!$A$2:$G$100,7,FALSE)&lt;&gt;"จบแล้ว",0,
IF(
    AND(
        E3=VLOOKUP(C3,'Matches (สำหรับแอดมิน)'!$A$2:$G$100,5,FALSE),
        G3=VLOOKUP(C3,'Matches (สำหรับแอดมิน)'!$A$2:$G$100,6,FALSE)
    ),
    IF(
        AND(
            VLOOKUP(C3,'Matches (สำหรับแอดมิน)'!$A$2:$G$100,5,FALSE)=0,
            VLOOKUP(C3,'Matches (สำหรับแอดมิน)'!$A$2:$G$100,6,FALSE)=0
        ),
        4,
        3+
        VLOOKUP(C3,'Matches (สำหรับแอดมิน)'!$A$2:$G$100,5,FALSE)+
        VLOOKUP(C3,'Matches (สำหรับแอดมิน)'!$A$2:$G$100,6,FALSE)
    ),
    IF(
        OR(
            AND(
                VLOOKUP(C3,'Matches (สำหรับแอดมิน)'!$A$2:$G$100,5,FALSE)&gt;
                VLOOKUP(C3,'Matches (สำหรับแอดมิน)'!$A$2:$G$100,6,FALSE),
                E3&gt;G3
            ),
            AND(
                VLOOKUP(C3,'Matches (สำหรับแอดมิน)'!$A$2:$G$100,6,FALSE)&gt;
                VLOOKUP(C3,'Matches (สำหรับแอดมิน)'!$A$2:$G$100,5,FALSE),
                G3&gt;E3
            ),
            AND(
                VLOOKUP(C3,'Matches (สำหรับแอดมิน)'!$A$2:$G$100,5,FALSE)=
                VLOOKUP(C3,'Matches (สำหรับแอดมิน)'!$A$2:$G$100,6,FALSE),
                E3=G3
            )
        ),
        3,
        0
    )
))</f>
        <v>0</v>
      </c>
      <c r="I3" s="19"/>
      <c r="J3" s="19"/>
    </row>
    <row r="4" spans="1:10" ht="19.5" customHeight="1">
      <c r="A4" s="15" t="str">
        <f t="shared" si="0"/>
        <v>Faro_M1</v>
      </c>
      <c r="B4" s="16" t="s">
        <v>179</v>
      </c>
      <c r="C4" s="17">
        <v>1</v>
      </c>
      <c r="D4" s="15" t="str">
        <f>VLOOKUP(C4,'Matches (สำหรับแอดมิน)'!$A$2:$D$105,3,FALSE)</f>
        <v>Mexico</v>
      </c>
      <c r="E4" s="15">
        <v>2</v>
      </c>
      <c r="F4" s="15" t="str">
        <f>VLOOKUP(C4,'Matches (สำหรับแอดมิน)'!$A$2:$D$105,4,FALSE)</f>
        <v>South Africa</v>
      </c>
      <c r="G4" s="15">
        <v>0</v>
      </c>
      <c r="H4" s="18">
        <f>IF(VLOOKUP(C4,'Matches (สำหรับแอดมิน)'!$A$2:$G$100,7,FALSE)&lt;&gt;"จบแล้ว",0,
IF(
    AND(
        E4=VLOOKUP(C4,'Matches (สำหรับแอดมิน)'!$A$2:$G$100,5,FALSE),
        G4=VLOOKUP(C4,'Matches (สำหรับแอดมิน)'!$A$2:$G$100,6,FALSE)
    ),
    IF(
        AND(
            VLOOKUP(C4,'Matches (สำหรับแอดมิน)'!$A$2:$G$100,5,FALSE)=0,
            VLOOKUP(C4,'Matches (สำหรับแอดมิน)'!$A$2:$G$100,6,FALSE)=0
        ),
        4,
        3+
        VLOOKUP(C4,'Matches (สำหรับแอดมิน)'!$A$2:$G$100,5,FALSE)+
        VLOOKUP(C4,'Matches (สำหรับแอดมิน)'!$A$2:$G$100,6,FALSE)
    ),
    IF(
        OR(
            AND(
                VLOOKUP(C4,'Matches (สำหรับแอดมิน)'!$A$2:$G$100,5,FALSE)&gt;
                VLOOKUP(C4,'Matches (สำหรับแอดมิน)'!$A$2:$G$100,6,FALSE),
                E4&gt;G4
            ),
            AND(
                VLOOKUP(C4,'Matches (สำหรับแอดมิน)'!$A$2:$G$100,6,FALSE)&gt;
                VLOOKUP(C4,'Matches (สำหรับแอดมิน)'!$A$2:$G$100,5,FALSE),
                G4&gt;E4
            ),
            AND(
                VLOOKUP(C4,'Matches (สำหรับแอดมิน)'!$A$2:$G$100,5,FALSE)=
                VLOOKUP(C4,'Matches (สำหรับแอดมิน)'!$A$2:$G$100,6,FALSE),
                E4=G4
            )
        ),
        3,
        0
    )
))</f>
        <v>0</v>
      </c>
      <c r="I4" s="19"/>
      <c r="J4" s="19"/>
    </row>
    <row r="5" spans="1:10" ht="19.5" customHeight="1">
      <c r="A5" s="15" t="str">
        <f t="shared" si="0"/>
        <v>Oat_M1</v>
      </c>
      <c r="B5" s="16" t="s">
        <v>180</v>
      </c>
      <c r="C5" s="17">
        <v>1</v>
      </c>
      <c r="D5" s="15" t="str">
        <f>VLOOKUP(C5,'Matches (สำหรับแอดมิน)'!$A$2:$D$105,3,FALSE)</f>
        <v>Mexico</v>
      </c>
      <c r="E5" s="15">
        <v>1</v>
      </c>
      <c r="F5" s="15" t="str">
        <f>VLOOKUP(C5,'Matches (สำหรับแอดมิน)'!$A$2:$D$105,4,FALSE)</f>
        <v>South Africa</v>
      </c>
      <c r="G5" s="15">
        <v>1</v>
      </c>
      <c r="H5" s="18">
        <f>IF(VLOOKUP(C5,'Matches (สำหรับแอดมิน)'!$A$2:$G$100,7,FALSE)&lt;&gt;"จบแล้ว",0,
IF(
    AND(
        E5=VLOOKUP(C5,'Matches (สำหรับแอดมิน)'!$A$2:$G$100,5,FALSE),
        G5=VLOOKUP(C5,'Matches (สำหรับแอดมิน)'!$A$2:$G$100,6,FALSE)
    ),
    IF(
        AND(
            VLOOKUP(C5,'Matches (สำหรับแอดมิน)'!$A$2:$G$100,5,FALSE)=0,
            VLOOKUP(C5,'Matches (สำหรับแอดมิน)'!$A$2:$G$100,6,FALSE)=0
        ),
        4,
        3+
        VLOOKUP(C5,'Matches (สำหรับแอดมิน)'!$A$2:$G$100,5,FALSE)+
        VLOOKUP(C5,'Matches (สำหรับแอดมิน)'!$A$2:$G$100,6,FALSE)
    ),
    IF(
        OR(
            AND(
                VLOOKUP(C5,'Matches (สำหรับแอดมิน)'!$A$2:$G$100,5,FALSE)&gt;
                VLOOKUP(C5,'Matches (สำหรับแอดมิน)'!$A$2:$G$100,6,FALSE),
                E5&gt;G5
            ),
            AND(
                VLOOKUP(C5,'Matches (สำหรับแอดมิน)'!$A$2:$G$100,6,FALSE)&gt;
                VLOOKUP(C5,'Matches (สำหรับแอดมิน)'!$A$2:$G$100,5,FALSE),
                G5&gt;E5
            ),
            AND(
                VLOOKUP(C5,'Matches (สำหรับแอดมิน)'!$A$2:$G$100,5,FALSE)=
                VLOOKUP(C5,'Matches (สำหรับแอดมิน)'!$A$2:$G$100,6,FALSE),
                E5=G5
            )
        ),
        3,
        0
    )
))</f>
        <v>0</v>
      </c>
      <c r="I5" s="19"/>
      <c r="J5" s="19"/>
    </row>
    <row r="6" spans="1:10" ht="19.5" customHeight="1">
      <c r="A6" s="15" t="str">
        <f t="shared" si="0"/>
        <v>Kob_M1</v>
      </c>
      <c r="B6" s="16" t="s">
        <v>181</v>
      </c>
      <c r="C6" s="17">
        <v>1</v>
      </c>
      <c r="D6" s="15" t="str">
        <f>VLOOKUP(C6,'Matches (สำหรับแอดมิน)'!$A$2:$D$105,3,FALSE)</f>
        <v>Mexico</v>
      </c>
      <c r="E6" s="15">
        <v>2</v>
      </c>
      <c r="F6" s="15" t="str">
        <f>VLOOKUP(C6,'Matches (สำหรับแอดมิน)'!$A$2:$D$105,4,FALSE)</f>
        <v>South Africa</v>
      </c>
      <c r="G6" s="15">
        <v>1</v>
      </c>
      <c r="H6" s="18">
        <f>IF(VLOOKUP(C6,'Matches (สำหรับแอดมิน)'!$A$2:$G$100,7,FALSE)&lt;&gt;"จบแล้ว",0,
IF(
    AND(
        E6=VLOOKUP(C6,'Matches (สำหรับแอดมิน)'!$A$2:$G$100,5,FALSE),
        G6=VLOOKUP(C6,'Matches (สำหรับแอดมิน)'!$A$2:$G$100,6,FALSE)
    ),
    IF(
        AND(
            VLOOKUP(C6,'Matches (สำหรับแอดมิน)'!$A$2:$G$100,5,FALSE)=0,
            VLOOKUP(C6,'Matches (สำหรับแอดมิน)'!$A$2:$G$100,6,FALSE)=0
        ),
        4,
        3+
        VLOOKUP(C6,'Matches (สำหรับแอดมิน)'!$A$2:$G$100,5,FALSE)+
        VLOOKUP(C6,'Matches (สำหรับแอดมิน)'!$A$2:$G$100,6,FALSE)
    ),
    IF(
        OR(
            AND(
                VLOOKUP(C6,'Matches (สำหรับแอดมิน)'!$A$2:$G$100,5,FALSE)&gt;
                VLOOKUP(C6,'Matches (สำหรับแอดมิน)'!$A$2:$G$100,6,FALSE),
                E6&gt;G6
            ),
            AND(
                VLOOKUP(C6,'Matches (สำหรับแอดมิน)'!$A$2:$G$100,6,FALSE)&gt;
                VLOOKUP(C6,'Matches (สำหรับแอดมิน)'!$A$2:$G$100,5,FALSE),
                G6&gt;E6
            ),
            AND(
                VLOOKUP(C6,'Matches (สำหรับแอดมิน)'!$A$2:$G$100,5,FALSE)=
                VLOOKUP(C6,'Matches (สำหรับแอดมิน)'!$A$2:$G$100,6,FALSE),
                E6=G6
            )
        ),
        3,
        0
    )
))</f>
        <v>0</v>
      </c>
      <c r="I6" s="19"/>
      <c r="J6" s="19"/>
    </row>
    <row r="7" spans="1:10" ht="19.5" customHeight="1">
      <c r="A7" s="15" t="str">
        <f t="shared" si="0"/>
        <v>Aof_M1</v>
      </c>
      <c r="B7" s="16" t="s">
        <v>182</v>
      </c>
      <c r="C7" s="17">
        <v>1</v>
      </c>
      <c r="D7" s="15" t="str">
        <f>VLOOKUP(C7,'Matches (สำหรับแอดมิน)'!$A$2:$D$105,3,FALSE)</f>
        <v>Mexico</v>
      </c>
      <c r="E7" s="15">
        <v>3</v>
      </c>
      <c r="F7" s="15" t="str">
        <f>VLOOKUP(C7,'Matches (สำหรับแอดมิน)'!$A$2:$D$105,4,FALSE)</f>
        <v>South Africa</v>
      </c>
      <c r="G7" s="15">
        <v>2</v>
      </c>
      <c r="H7" s="18">
        <f>IF(VLOOKUP(C7,'Matches (สำหรับแอดมิน)'!$A$2:$G$100,7,FALSE)&lt;&gt;"จบแล้ว",0,
IF(
    AND(
        E7=VLOOKUP(C7,'Matches (สำหรับแอดมิน)'!$A$2:$G$100,5,FALSE),
        G7=VLOOKUP(C7,'Matches (สำหรับแอดมิน)'!$A$2:$G$100,6,FALSE)
    ),
    IF(
        AND(
            VLOOKUP(C7,'Matches (สำหรับแอดมิน)'!$A$2:$G$100,5,FALSE)=0,
            VLOOKUP(C7,'Matches (สำหรับแอดมิน)'!$A$2:$G$100,6,FALSE)=0
        ),
        4,
        3+
        VLOOKUP(C7,'Matches (สำหรับแอดมิน)'!$A$2:$G$100,5,FALSE)+
        VLOOKUP(C7,'Matches (สำหรับแอดมิน)'!$A$2:$G$100,6,FALSE)
    ),
    IF(
        OR(
            AND(
                VLOOKUP(C7,'Matches (สำหรับแอดมิน)'!$A$2:$G$100,5,FALSE)&gt;
                VLOOKUP(C7,'Matches (สำหรับแอดมิน)'!$A$2:$G$100,6,FALSE),
                E7&gt;G7
            ),
            AND(
                VLOOKUP(C7,'Matches (สำหรับแอดมิน)'!$A$2:$G$100,6,FALSE)&gt;
                VLOOKUP(C7,'Matches (สำหรับแอดมิน)'!$A$2:$G$100,5,FALSE),
                G7&gt;E7
            ),
            AND(
                VLOOKUP(C7,'Matches (สำหรับแอดมิน)'!$A$2:$G$100,5,FALSE)=
                VLOOKUP(C7,'Matches (สำหรับแอดมิน)'!$A$2:$G$100,6,FALSE),
                E7=G7
            )
        ),
        3,
        0
    )
))</f>
        <v>0</v>
      </c>
      <c r="I7" s="19"/>
      <c r="J7" s="19"/>
    </row>
    <row r="8" spans="1:10" ht="22.5" customHeight="1">
      <c r="A8" s="15" t="str">
        <f t="shared" si="0"/>
        <v>Ice_M1</v>
      </c>
      <c r="B8" s="16" t="s">
        <v>183</v>
      </c>
      <c r="C8" s="17">
        <v>1</v>
      </c>
      <c r="D8" s="15" t="str">
        <f>VLOOKUP(C8,'Matches (สำหรับแอดมิน)'!$A$2:$D$105,3,FALSE)</f>
        <v>Mexico</v>
      </c>
      <c r="E8" s="15">
        <v>1</v>
      </c>
      <c r="F8" s="15" t="str">
        <f>VLOOKUP(C8,'Matches (สำหรับแอดมิน)'!$A$2:$D$105,4,FALSE)</f>
        <v>South Africa</v>
      </c>
      <c r="G8" s="15">
        <v>0</v>
      </c>
      <c r="H8" s="18">
        <f>IF(VLOOKUP(C8,'Matches (สำหรับแอดมิน)'!$A$2:$G$100,7,FALSE)&lt;&gt;"จบแล้ว",0,
IF(
    AND(
        E8=VLOOKUP(C8,'Matches (สำหรับแอดมิน)'!$A$2:$G$100,5,FALSE),
        G8=VLOOKUP(C8,'Matches (สำหรับแอดมิน)'!$A$2:$G$100,6,FALSE)
    ),
    IF(
        AND(
            VLOOKUP(C8,'Matches (สำหรับแอดมิน)'!$A$2:$G$100,5,FALSE)=0,
            VLOOKUP(C8,'Matches (สำหรับแอดมิน)'!$A$2:$G$100,6,FALSE)=0
        ),
        4,
        3+
        VLOOKUP(C8,'Matches (สำหรับแอดมิน)'!$A$2:$G$100,5,FALSE)+
        VLOOKUP(C8,'Matches (สำหรับแอดมิน)'!$A$2:$G$100,6,FALSE)
    ),
    IF(
        OR(
            AND(
                VLOOKUP(C8,'Matches (สำหรับแอดมิน)'!$A$2:$G$100,5,FALSE)&gt;
                VLOOKUP(C8,'Matches (สำหรับแอดมิน)'!$A$2:$G$100,6,FALSE),
                E8&gt;G8
            ),
            AND(
                VLOOKUP(C8,'Matches (สำหรับแอดมิน)'!$A$2:$G$100,6,FALSE)&gt;
                VLOOKUP(C8,'Matches (สำหรับแอดมิน)'!$A$2:$G$100,5,FALSE),
                G8&gt;E8
            ),
            AND(
                VLOOKUP(C8,'Matches (สำหรับแอดมิน)'!$A$2:$G$100,5,FALSE)=
                VLOOKUP(C8,'Matches (สำหรับแอดมิน)'!$A$2:$G$100,6,FALSE),
                E8=G8
            )
        ),
        3,
        0
    )
))</f>
        <v>0</v>
      </c>
      <c r="I8" s="20" t="s">
        <v>184</v>
      </c>
      <c r="J8" s="21">
        <v>46184.945972222224</v>
      </c>
    </row>
    <row r="9" spans="1:10" ht="22.5" customHeight="1">
      <c r="A9" s="15" t="str">
        <f t="shared" si="0"/>
        <v>Golf_M1</v>
      </c>
      <c r="B9" s="16" t="s">
        <v>185</v>
      </c>
      <c r="C9" s="17">
        <v>1</v>
      </c>
      <c r="D9" s="15" t="str">
        <f>VLOOKUP(C9,'Matches (สำหรับแอดมิน)'!$A$2:$D$105,3,FALSE)</f>
        <v>Mexico</v>
      </c>
      <c r="E9" s="15">
        <v>2</v>
      </c>
      <c r="F9" s="15" t="str">
        <f>VLOOKUP(C9,'Matches (สำหรับแอดมิน)'!$A$2:$D$105,4,FALSE)</f>
        <v>South Africa</v>
      </c>
      <c r="G9" s="15">
        <v>0</v>
      </c>
      <c r="H9" s="18">
        <f>IF(VLOOKUP(C9,'Matches (สำหรับแอดมิน)'!$A$2:$G$100,7,FALSE)&lt;&gt;"จบแล้ว",0,
IF(
    AND(
        E9=VLOOKUP(C9,'Matches (สำหรับแอดมิน)'!$A$2:$G$100,5,FALSE),
        G9=VLOOKUP(C9,'Matches (สำหรับแอดมิน)'!$A$2:$G$100,6,FALSE)
    ),
    IF(
        AND(
            VLOOKUP(C9,'Matches (สำหรับแอดมิน)'!$A$2:$G$100,5,FALSE)=0,
            VLOOKUP(C9,'Matches (สำหรับแอดมิน)'!$A$2:$G$100,6,FALSE)=0
        ),
        4,
        3+
        VLOOKUP(C9,'Matches (สำหรับแอดมิน)'!$A$2:$G$100,5,FALSE)+
        VLOOKUP(C9,'Matches (สำหรับแอดมิน)'!$A$2:$G$100,6,FALSE)
    ),
    IF(
        OR(
            AND(
                VLOOKUP(C9,'Matches (สำหรับแอดมิน)'!$A$2:$G$100,5,FALSE)&gt;
                VLOOKUP(C9,'Matches (สำหรับแอดมิน)'!$A$2:$G$100,6,FALSE),
                E9&gt;G9
            ),
            AND(
                VLOOKUP(C9,'Matches (สำหรับแอดมิน)'!$A$2:$G$100,6,FALSE)&gt;
                VLOOKUP(C9,'Matches (สำหรับแอดมิน)'!$A$2:$G$100,5,FALSE),
                G9&gt;E9
            ),
            AND(
                VLOOKUP(C9,'Matches (สำหรับแอดมิน)'!$A$2:$G$100,5,FALSE)=
                VLOOKUP(C9,'Matches (สำหรับแอดมิน)'!$A$2:$G$100,6,FALSE),
                E9=G9
            )
        ),
        3,
        0
    )
))</f>
        <v>0</v>
      </c>
      <c r="I9" s="19"/>
      <c r="J9" s="19"/>
    </row>
    <row r="10" spans="1:10" ht="22.5" customHeight="1">
      <c r="A10" s="15" t="str">
        <f t="shared" si="0"/>
        <v>Mun_M1</v>
      </c>
      <c r="B10" s="16" t="s">
        <v>186</v>
      </c>
      <c r="C10" s="17">
        <v>1</v>
      </c>
      <c r="D10" s="15" t="str">
        <f>VLOOKUP(C10,'Matches (สำหรับแอดมิน)'!$A$2:$D$105,3,FALSE)</f>
        <v>Mexico</v>
      </c>
      <c r="E10" s="15"/>
      <c r="F10" s="15" t="str">
        <f>VLOOKUP(C10,'Matches (สำหรับแอดมิน)'!$A$2:$D$105,4,FALSE)</f>
        <v>South Africa</v>
      </c>
      <c r="G10" s="15"/>
      <c r="H10" s="18">
        <f>IF(VLOOKUP(C10,'Matches (สำหรับแอดมิน)'!$A$2:$G$100,7,FALSE)&lt;&gt;"จบแล้ว",0,
IF(
    AND(
        E10=VLOOKUP(C10,'Matches (สำหรับแอดมิน)'!$A$2:$G$100,5,FALSE),
        G10=VLOOKUP(C10,'Matches (สำหรับแอดมิน)'!$A$2:$G$100,6,FALSE)
    ),
    IF(
        AND(
            VLOOKUP(C10,'Matches (สำหรับแอดมิน)'!$A$2:$G$100,5,FALSE)=0,
            VLOOKUP(C10,'Matches (สำหรับแอดมิน)'!$A$2:$G$100,6,FALSE)=0
        ),
        4,
        3+
        VLOOKUP(C10,'Matches (สำหรับแอดมิน)'!$A$2:$G$100,5,FALSE)+
        VLOOKUP(C10,'Matches (สำหรับแอดมิน)'!$A$2:$G$100,6,FALSE)
    ),
    IF(
        OR(
            AND(
                VLOOKUP(C10,'Matches (สำหรับแอดมิน)'!$A$2:$G$100,5,FALSE)&gt;
                VLOOKUP(C10,'Matches (สำหรับแอดมิน)'!$A$2:$G$100,6,FALSE),
                E10&gt;G10
            ),
            AND(
                VLOOKUP(C10,'Matches (สำหรับแอดมิน)'!$A$2:$G$100,6,FALSE)&gt;
                VLOOKUP(C10,'Matches (สำหรับแอดมิน)'!$A$2:$G$100,5,FALSE),
                G10&gt;E10
            ),
            AND(
                VLOOKUP(C10,'Matches (สำหรับแอดมิน)'!$A$2:$G$100,5,FALSE)=
                VLOOKUP(C10,'Matches (สำหรับแอดมิน)'!$A$2:$G$100,6,FALSE),
                E10=G10
            )
        ),
        3,
        0
    )
))</f>
        <v>0</v>
      </c>
      <c r="I10" s="19"/>
      <c r="J10" s="19"/>
    </row>
    <row r="11" spans="1:10" ht="22.5" customHeight="1">
      <c r="A11" s="15" t="str">
        <f t="shared" si="0"/>
        <v>Mig_M1</v>
      </c>
      <c r="B11" s="16" t="s">
        <v>187</v>
      </c>
      <c r="C11" s="17">
        <v>1</v>
      </c>
      <c r="D11" s="15" t="str">
        <f>VLOOKUP(C11,'Matches (สำหรับแอดมิน)'!$A$2:$D$105,3,FALSE)</f>
        <v>Mexico</v>
      </c>
      <c r="E11" s="15"/>
      <c r="F11" s="15" t="str">
        <f>VLOOKUP(C11,'Matches (สำหรับแอดมิน)'!$A$2:$D$105,4,FALSE)</f>
        <v>South Africa</v>
      </c>
      <c r="G11" s="15"/>
      <c r="H11" s="18">
        <f>IF(VLOOKUP(C11,'Matches (สำหรับแอดมิน)'!$A$2:$G$100,7,FALSE)&lt;&gt;"จบแล้ว",0,
IF(
    AND(
        E11=VLOOKUP(C11,'Matches (สำหรับแอดมิน)'!$A$2:$G$100,5,FALSE),
        G11=VLOOKUP(C11,'Matches (สำหรับแอดมิน)'!$A$2:$G$100,6,FALSE)
    ),
    IF(
        AND(
            VLOOKUP(C11,'Matches (สำหรับแอดมิน)'!$A$2:$G$100,5,FALSE)=0,
            VLOOKUP(C11,'Matches (สำหรับแอดมิน)'!$A$2:$G$100,6,FALSE)=0
        ),
        4,
        3+
        VLOOKUP(C11,'Matches (สำหรับแอดมิน)'!$A$2:$G$100,5,FALSE)+
        VLOOKUP(C11,'Matches (สำหรับแอดมิน)'!$A$2:$G$100,6,FALSE)
    ),
    IF(
        OR(
            AND(
                VLOOKUP(C11,'Matches (สำหรับแอดมิน)'!$A$2:$G$100,5,FALSE)&gt;
                VLOOKUP(C11,'Matches (สำหรับแอดมิน)'!$A$2:$G$100,6,FALSE),
                E11&gt;G11
            ),
            AND(
                VLOOKUP(C11,'Matches (สำหรับแอดมิน)'!$A$2:$G$100,6,FALSE)&gt;
                VLOOKUP(C11,'Matches (สำหรับแอดมิน)'!$A$2:$G$100,5,FALSE),
                G11&gt;E11
            ),
            AND(
                VLOOKUP(C11,'Matches (สำหรับแอดมิน)'!$A$2:$G$100,5,FALSE)=
                VLOOKUP(C11,'Matches (สำหรับแอดมิน)'!$A$2:$G$100,6,FALSE),
                E11=G11
            )
        ),
        3,
        0
    )
))</f>
        <v>0</v>
      </c>
      <c r="I11" s="19"/>
      <c r="J11" s="19"/>
    </row>
    <row r="12" spans="1:10" ht="22.5" customHeight="1">
      <c r="A12" s="15" t="str">
        <f t="shared" si="0"/>
        <v>Ball_M2</v>
      </c>
      <c r="B12" s="16" t="s">
        <v>177</v>
      </c>
      <c r="C12" s="17">
        <v>2</v>
      </c>
      <c r="D12" s="15" t="str">
        <f>VLOOKUP(C12,'Matches (สำหรับแอดมิน)'!$A$2:$D$105,3,FALSE)</f>
        <v>South Korea</v>
      </c>
      <c r="E12" s="15">
        <v>3</v>
      </c>
      <c r="F12" s="15" t="str">
        <f>VLOOKUP(C12,'Matches (สำหรับแอดมิน)'!$A$2:$D$105,4,FALSE)</f>
        <v>Czechia</v>
      </c>
      <c r="G12" s="15">
        <v>1</v>
      </c>
      <c r="H12" s="18">
        <f>IF(VLOOKUP(C12,'Matches (สำหรับแอดมิน)'!$A$2:$G$100,7,FALSE)&lt;&gt;"จบแล้ว",0,
IF(
    AND(
        E12=VLOOKUP(C12,'Matches (สำหรับแอดมิน)'!$A$2:$G$100,5,FALSE),
        G12=VLOOKUP(C12,'Matches (สำหรับแอดมิน)'!$A$2:$G$100,6,FALSE)
    ),
    IF(
        AND(
            VLOOKUP(C12,'Matches (สำหรับแอดมิน)'!$A$2:$G$100,5,FALSE)=0,
            VLOOKUP(C12,'Matches (สำหรับแอดมิน)'!$A$2:$G$100,6,FALSE)=0
        ),
        4,
        3+
        VLOOKUP(C12,'Matches (สำหรับแอดมิน)'!$A$2:$G$100,5,FALSE)+
        VLOOKUP(C12,'Matches (สำหรับแอดมิน)'!$A$2:$G$100,6,FALSE)
    ),
    IF(
        OR(
            AND(
                VLOOKUP(C12,'Matches (สำหรับแอดมิน)'!$A$2:$G$100,5,FALSE)&gt;
                VLOOKUP(C12,'Matches (สำหรับแอดมิน)'!$A$2:$G$100,6,FALSE),
                E12&gt;G12
            ),
            AND(
                VLOOKUP(C12,'Matches (สำหรับแอดมิน)'!$A$2:$G$100,6,FALSE)&gt;
                VLOOKUP(C12,'Matches (สำหรับแอดมิน)'!$A$2:$G$100,5,FALSE),
                G12&gt;E12
            ),
            AND(
                VLOOKUP(C12,'Matches (สำหรับแอดมิน)'!$A$2:$G$100,5,FALSE)=
                VLOOKUP(C12,'Matches (สำหรับแอดมิน)'!$A$2:$G$100,6,FALSE),
                E12=G12
            )
        ),
        3,
        0
    )
))</f>
        <v>0</v>
      </c>
      <c r="I12" s="19"/>
      <c r="J12" s="19"/>
    </row>
    <row r="13" spans="1:10" ht="22.5" customHeight="1">
      <c r="A13" s="15" t="str">
        <f t="shared" si="0"/>
        <v>Been_M2</v>
      </c>
      <c r="B13" s="16" t="s">
        <v>178</v>
      </c>
      <c r="C13" s="17">
        <v>2</v>
      </c>
      <c r="D13" s="15" t="str">
        <f>VLOOKUP(C13,'Matches (สำหรับแอดมิน)'!$A$2:$D$105,3,FALSE)</f>
        <v>South Korea</v>
      </c>
      <c r="E13" s="15"/>
      <c r="F13" s="15" t="str">
        <f>VLOOKUP(C13,'Matches (สำหรับแอดมิน)'!$A$2:$D$105,4,FALSE)</f>
        <v>Czechia</v>
      </c>
      <c r="G13" s="15"/>
      <c r="H13" s="18">
        <f>IF(VLOOKUP(C13,'Matches (สำหรับแอดมิน)'!$A$2:$G$100,7,FALSE)&lt;&gt;"จบแล้ว",0,
IF(
    AND(
        E13=VLOOKUP(C13,'Matches (สำหรับแอดมิน)'!$A$2:$G$100,5,FALSE),
        G13=VLOOKUP(C13,'Matches (สำหรับแอดมิน)'!$A$2:$G$100,6,FALSE)
    ),
    IF(
        AND(
            VLOOKUP(C13,'Matches (สำหรับแอดมิน)'!$A$2:$G$100,5,FALSE)=0,
            VLOOKUP(C13,'Matches (สำหรับแอดมิน)'!$A$2:$G$100,6,FALSE)=0
        ),
        4,
        3+
        VLOOKUP(C13,'Matches (สำหรับแอดมิน)'!$A$2:$G$100,5,FALSE)+
        VLOOKUP(C13,'Matches (สำหรับแอดมิน)'!$A$2:$G$100,6,FALSE)
    ),
    IF(
        OR(
            AND(
                VLOOKUP(C13,'Matches (สำหรับแอดมิน)'!$A$2:$G$100,5,FALSE)&gt;
                VLOOKUP(C13,'Matches (สำหรับแอดมิน)'!$A$2:$G$100,6,FALSE),
                E13&gt;G13
            ),
            AND(
                VLOOKUP(C13,'Matches (สำหรับแอดมิน)'!$A$2:$G$100,6,FALSE)&gt;
                VLOOKUP(C13,'Matches (สำหรับแอดมิน)'!$A$2:$G$100,5,FALSE),
                G13&gt;E13
            ),
            AND(
                VLOOKUP(C13,'Matches (สำหรับแอดมิน)'!$A$2:$G$100,5,FALSE)=
                VLOOKUP(C13,'Matches (สำหรับแอดมิน)'!$A$2:$G$100,6,FALSE),
                E13=G13
            )
        ),
        3,
        0
    )
))</f>
        <v>0</v>
      </c>
      <c r="I13" s="19"/>
      <c r="J13" s="19"/>
    </row>
    <row r="14" spans="1:10" ht="22.5" customHeight="1">
      <c r="A14" s="15" t="str">
        <f t="shared" si="0"/>
        <v>Faro_M2</v>
      </c>
      <c r="B14" s="16" t="s">
        <v>179</v>
      </c>
      <c r="C14" s="22">
        <v>2</v>
      </c>
      <c r="D14" s="23" t="str">
        <f>VLOOKUP(C14,'Matches (สำหรับแอดมิน)'!$A$2:$D$105,3,FALSE)</f>
        <v>South Korea</v>
      </c>
      <c r="E14" s="15">
        <v>2</v>
      </c>
      <c r="F14" s="15" t="str">
        <f>VLOOKUP(C14,'Matches (สำหรับแอดมิน)'!$A$2:$D$105,4,FALSE)</f>
        <v>Czechia</v>
      </c>
      <c r="G14" s="15">
        <v>2</v>
      </c>
      <c r="H14" s="18">
        <f>IF(VLOOKUP(C14,'Matches (สำหรับแอดมิน)'!$A$2:$G$100,7,FALSE)&lt;&gt;"จบแล้ว",0,
IF(
    AND(
        E14=VLOOKUP(C14,'Matches (สำหรับแอดมิน)'!$A$2:$G$100,5,FALSE),
        G14=VLOOKUP(C14,'Matches (สำหรับแอดมิน)'!$A$2:$G$100,6,FALSE)
    ),
    IF(
        AND(
            VLOOKUP(C14,'Matches (สำหรับแอดมิน)'!$A$2:$G$100,5,FALSE)=0,
            VLOOKUP(C14,'Matches (สำหรับแอดมิน)'!$A$2:$G$100,6,FALSE)=0
        ),
        4,
        3+
        VLOOKUP(C14,'Matches (สำหรับแอดมิน)'!$A$2:$G$100,5,FALSE)+
        VLOOKUP(C14,'Matches (สำหรับแอดมิน)'!$A$2:$G$100,6,FALSE)
    ),
    IF(
        OR(
            AND(
                VLOOKUP(C14,'Matches (สำหรับแอดมิน)'!$A$2:$G$100,5,FALSE)&gt;
                VLOOKUP(C14,'Matches (สำหรับแอดมิน)'!$A$2:$G$100,6,FALSE),
                E14&gt;G14
            ),
            AND(
                VLOOKUP(C14,'Matches (สำหรับแอดมิน)'!$A$2:$G$100,6,FALSE)&gt;
                VLOOKUP(C14,'Matches (สำหรับแอดมิน)'!$A$2:$G$100,5,FALSE),
                G14&gt;E14
            ),
            AND(
                VLOOKUP(C14,'Matches (สำหรับแอดมิน)'!$A$2:$G$100,5,FALSE)=
                VLOOKUP(C14,'Matches (สำหรับแอดมิน)'!$A$2:$G$100,6,FALSE),
                E14=G14
            )
        ),
        3,
        0
    )
))</f>
        <v>0</v>
      </c>
      <c r="I14" s="19"/>
      <c r="J14" s="19"/>
    </row>
    <row r="15" spans="1:10" ht="22.5" customHeight="1">
      <c r="A15" s="15" t="str">
        <f t="shared" si="0"/>
        <v>Oat_M2</v>
      </c>
      <c r="B15" s="16" t="s">
        <v>180</v>
      </c>
      <c r="C15" s="22">
        <v>2</v>
      </c>
      <c r="D15" s="23" t="str">
        <f>VLOOKUP(C15,'Matches (สำหรับแอดมิน)'!$A$2:$D$105,3,FALSE)</f>
        <v>South Korea</v>
      </c>
      <c r="E15" s="15">
        <v>1</v>
      </c>
      <c r="F15" s="15" t="str">
        <f>VLOOKUP(C15,'Matches (สำหรับแอดมิน)'!$A$2:$D$105,4,FALSE)</f>
        <v>Czechia</v>
      </c>
      <c r="G15" s="15">
        <v>0</v>
      </c>
      <c r="H15" s="18">
        <f>IF(VLOOKUP(C15,'Matches (สำหรับแอดมิน)'!$A$2:$G$100,7,FALSE)&lt;&gt;"จบแล้ว",0,
IF(
    AND(
        E15=VLOOKUP(C15,'Matches (สำหรับแอดมิน)'!$A$2:$G$100,5,FALSE),
        G15=VLOOKUP(C15,'Matches (สำหรับแอดมิน)'!$A$2:$G$100,6,FALSE)
    ),
    IF(
        AND(
            VLOOKUP(C15,'Matches (สำหรับแอดมิน)'!$A$2:$G$100,5,FALSE)=0,
            VLOOKUP(C15,'Matches (สำหรับแอดมิน)'!$A$2:$G$100,6,FALSE)=0
        ),
        4,
        3+
        VLOOKUP(C15,'Matches (สำหรับแอดมิน)'!$A$2:$G$100,5,FALSE)+
        VLOOKUP(C15,'Matches (สำหรับแอดมิน)'!$A$2:$G$100,6,FALSE)
    ),
    IF(
        OR(
            AND(
                VLOOKUP(C15,'Matches (สำหรับแอดมิน)'!$A$2:$G$100,5,FALSE)&gt;
                VLOOKUP(C15,'Matches (สำหรับแอดมิน)'!$A$2:$G$100,6,FALSE),
                E15&gt;G15
            ),
            AND(
                VLOOKUP(C15,'Matches (สำหรับแอดมิน)'!$A$2:$G$100,6,FALSE)&gt;
                VLOOKUP(C15,'Matches (สำหรับแอดมิน)'!$A$2:$G$100,5,FALSE),
                G15&gt;E15
            ),
            AND(
                VLOOKUP(C15,'Matches (สำหรับแอดมิน)'!$A$2:$G$100,5,FALSE)=
                VLOOKUP(C15,'Matches (สำหรับแอดมิน)'!$A$2:$G$100,6,FALSE),
                E15=G15
            )
        ),
        3,
        0
    )
))</f>
        <v>0</v>
      </c>
      <c r="I15" s="19"/>
      <c r="J15" s="19"/>
    </row>
    <row r="16" spans="1:10" ht="22.5" customHeight="1">
      <c r="A16" s="15" t="str">
        <f t="shared" si="0"/>
        <v>Kob_M2</v>
      </c>
      <c r="B16" s="16" t="s">
        <v>181</v>
      </c>
      <c r="C16" s="17">
        <v>2</v>
      </c>
      <c r="D16" s="15" t="str">
        <f>VLOOKUP(C16,'Matches (สำหรับแอดมิน)'!$A$2:$D$105,3,FALSE)</f>
        <v>South Korea</v>
      </c>
      <c r="E16" s="15">
        <v>1</v>
      </c>
      <c r="F16" s="15" t="str">
        <f>VLOOKUP(C16,'Matches (สำหรับแอดมิน)'!$A$2:$D$105,4,FALSE)</f>
        <v>Czechia</v>
      </c>
      <c r="G16" s="15">
        <v>0</v>
      </c>
      <c r="H16" s="18">
        <f>IF(VLOOKUP(C16,'Matches (สำหรับแอดมิน)'!$A$2:$G$100,7,FALSE)&lt;&gt;"จบแล้ว",0,
IF(
    AND(
        E16=VLOOKUP(C16,'Matches (สำหรับแอดมิน)'!$A$2:$G$100,5,FALSE),
        G16=VLOOKUP(C16,'Matches (สำหรับแอดมิน)'!$A$2:$G$100,6,FALSE)
    ),
    IF(
        AND(
            VLOOKUP(C16,'Matches (สำหรับแอดมิน)'!$A$2:$G$100,5,FALSE)=0,
            VLOOKUP(C16,'Matches (สำหรับแอดมิน)'!$A$2:$G$100,6,FALSE)=0
        ),
        4,
        3+
        VLOOKUP(C16,'Matches (สำหรับแอดมิน)'!$A$2:$G$100,5,FALSE)+
        VLOOKUP(C16,'Matches (สำหรับแอดมิน)'!$A$2:$G$100,6,FALSE)
    ),
    IF(
        OR(
            AND(
                VLOOKUP(C16,'Matches (สำหรับแอดมิน)'!$A$2:$G$100,5,FALSE)&gt;
                VLOOKUP(C16,'Matches (สำหรับแอดมิน)'!$A$2:$G$100,6,FALSE),
                E16&gt;G16
            ),
            AND(
                VLOOKUP(C16,'Matches (สำหรับแอดมิน)'!$A$2:$G$100,6,FALSE)&gt;
                VLOOKUP(C16,'Matches (สำหรับแอดมิน)'!$A$2:$G$100,5,FALSE),
                G16&gt;E16
            ),
            AND(
                VLOOKUP(C16,'Matches (สำหรับแอดมิน)'!$A$2:$G$100,5,FALSE)=
                VLOOKUP(C16,'Matches (สำหรับแอดมิน)'!$A$2:$G$100,6,FALSE),
                E16=G16
            )
        ),
        3,
        0
    )
))</f>
        <v>0</v>
      </c>
      <c r="I16" s="19"/>
      <c r="J16" s="19"/>
    </row>
    <row r="17" spans="1:10" ht="22.5" customHeight="1">
      <c r="A17" s="15" t="str">
        <f t="shared" si="0"/>
        <v>Aof_M2</v>
      </c>
      <c r="B17" s="16" t="s">
        <v>182</v>
      </c>
      <c r="C17" s="17">
        <v>2</v>
      </c>
      <c r="D17" s="15" t="str">
        <f>VLOOKUP(C17,'Matches (สำหรับแอดมิน)'!$A$2:$D$105,3,FALSE)</f>
        <v>South Korea</v>
      </c>
      <c r="E17" s="15">
        <v>2</v>
      </c>
      <c r="F17" s="15" t="str">
        <f>VLOOKUP(C17,'Matches (สำหรับแอดมิน)'!$A$2:$D$105,4,FALSE)</f>
        <v>Czechia</v>
      </c>
      <c r="G17" s="15">
        <v>0</v>
      </c>
      <c r="H17" s="18">
        <f>IF(VLOOKUP(C17,'Matches (สำหรับแอดมิน)'!$A$2:$G$100,7,FALSE)&lt;&gt;"จบแล้ว",0,
IF(
    AND(
        E17=VLOOKUP(C17,'Matches (สำหรับแอดมิน)'!$A$2:$G$100,5,FALSE),
        G17=VLOOKUP(C17,'Matches (สำหรับแอดมิน)'!$A$2:$G$100,6,FALSE)
    ),
    IF(
        AND(
            VLOOKUP(C17,'Matches (สำหรับแอดมิน)'!$A$2:$G$100,5,FALSE)=0,
            VLOOKUP(C17,'Matches (สำหรับแอดมิน)'!$A$2:$G$100,6,FALSE)=0
        ),
        4,
        3+
        VLOOKUP(C17,'Matches (สำหรับแอดมิน)'!$A$2:$G$100,5,FALSE)+
        VLOOKUP(C17,'Matches (สำหรับแอดมิน)'!$A$2:$G$100,6,FALSE)
    ),
    IF(
        OR(
            AND(
                VLOOKUP(C17,'Matches (สำหรับแอดมิน)'!$A$2:$G$100,5,FALSE)&gt;
                VLOOKUP(C17,'Matches (สำหรับแอดมิน)'!$A$2:$G$100,6,FALSE),
                E17&gt;G17
            ),
            AND(
                VLOOKUP(C17,'Matches (สำหรับแอดมิน)'!$A$2:$G$100,6,FALSE)&gt;
                VLOOKUP(C17,'Matches (สำหรับแอดมิน)'!$A$2:$G$100,5,FALSE),
                G17&gt;E17
            ),
            AND(
                VLOOKUP(C17,'Matches (สำหรับแอดมิน)'!$A$2:$G$100,5,FALSE)=
                VLOOKUP(C17,'Matches (สำหรับแอดมิน)'!$A$2:$G$100,6,FALSE),
                E17=G17
            )
        ),
        3,
        0
    )
))</f>
        <v>0</v>
      </c>
      <c r="I17" s="19"/>
      <c r="J17" s="19"/>
    </row>
    <row r="18" spans="1:10" ht="22.5" customHeight="1">
      <c r="A18" s="15" t="str">
        <f t="shared" si="0"/>
        <v>Ice_M2</v>
      </c>
      <c r="B18" s="16" t="s">
        <v>183</v>
      </c>
      <c r="C18" s="17">
        <v>2</v>
      </c>
      <c r="D18" s="15" t="str">
        <f>VLOOKUP(C18,'Matches (สำหรับแอดมิน)'!$A$2:$D$105,3,FALSE)</f>
        <v>South Korea</v>
      </c>
      <c r="E18" s="15">
        <v>0</v>
      </c>
      <c r="F18" s="15" t="str">
        <f>VLOOKUP(C18,'Matches (สำหรับแอดมิน)'!$A$2:$D$105,4,FALSE)</f>
        <v>Czechia</v>
      </c>
      <c r="G18" s="15">
        <v>0</v>
      </c>
      <c r="H18" s="18">
        <f>IF(VLOOKUP(C18,'Matches (สำหรับแอดมิน)'!$A$2:$G$100,7,FALSE)&lt;&gt;"จบแล้ว",0,
IF(
    AND(
        E18=VLOOKUP(C18,'Matches (สำหรับแอดมิน)'!$A$2:$G$100,5,FALSE),
        G18=VLOOKUP(C18,'Matches (สำหรับแอดมิน)'!$A$2:$G$100,6,FALSE)
    ),
    IF(
        AND(
            VLOOKUP(C18,'Matches (สำหรับแอดมิน)'!$A$2:$G$100,5,FALSE)=0,
            VLOOKUP(C18,'Matches (สำหรับแอดมิน)'!$A$2:$G$100,6,FALSE)=0
        ),
        4,
        3+
        VLOOKUP(C18,'Matches (สำหรับแอดมิน)'!$A$2:$G$100,5,FALSE)+
        VLOOKUP(C18,'Matches (สำหรับแอดมิน)'!$A$2:$G$100,6,FALSE)
    ),
    IF(
        OR(
            AND(
                VLOOKUP(C18,'Matches (สำหรับแอดมิน)'!$A$2:$G$100,5,FALSE)&gt;
                VLOOKUP(C18,'Matches (สำหรับแอดมิน)'!$A$2:$G$100,6,FALSE),
                E18&gt;G18
            ),
            AND(
                VLOOKUP(C18,'Matches (สำหรับแอดมิน)'!$A$2:$G$100,6,FALSE)&gt;
                VLOOKUP(C18,'Matches (สำหรับแอดมิน)'!$A$2:$G$100,5,FALSE),
                G18&gt;E18
            ),
            AND(
                VLOOKUP(C18,'Matches (สำหรับแอดมิน)'!$A$2:$G$100,5,FALSE)=
                VLOOKUP(C18,'Matches (สำหรับแอดมิน)'!$A$2:$G$100,6,FALSE),
                E18=G18
            )
        ),
        3,
        0
    )
))</f>
        <v>0</v>
      </c>
      <c r="I18" s="20" t="s">
        <v>184</v>
      </c>
      <c r="J18" s="21">
        <v>46184.948182870372</v>
      </c>
    </row>
    <row r="19" spans="1:10" ht="22.5" customHeight="1">
      <c r="A19" s="15" t="str">
        <f t="shared" si="0"/>
        <v>Golf_M2</v>
      </c>
      <c r="B19" s="16" t="s">
        <v>185</v>
      </c>
      <c r="C19" s="17">
        <v>2</v>
      </c>
      <c r="D19" s="15" t="str">
        <f>VLOOKUP(C19,'Matches (สำหรับแอดมิน)'!$A$2:$D$105,3,FALSE)</f>
        <v>South Korea</v>
      </c>
      <c r="E19" s="15">
        <v>1</v>
      </c>
      <c r="F19" s="15" t="str">
        <f>VLOOKUP(C19,'Matches (สำหรับแอดมิน)'!$A$2:$D$105,4,FALSE)</f>
        <v>Czechia</v>
      </c>
      <c r="G19" s="15">
        <v>2</v>
      </c>
      <c r="H19" s="18">
        <f>IF(VLOOKUP(C19,'Matches (สำหรับแอดมิน)'!$A$2:$G$100,7,FALSE)&lt;&gt;"จบแล้ว",0,
IF(
    AND(
        E19=VLOOKUP(C19,'Matches (สำหรับแอดมิน)'!$A$2:$G$100,5,FALSE),
        G19=VLOOKUP(C19,'Matches (สำหรับแอดมิน)'!$A$2:$G$100,6,FALSE)
    ),
    IF(
        AND(
            VLOOKUP(C19,'Matches (สำหรับแอดมิน)'!$A$2:$G$100,5,FALSE)=0,
            VLOOKUP(C19,'Matches (สำหรับแอดมิน)'!$A$2:$G$100,6,FALSE)=0
        ),
        4,
        3+
        VLOOKUP(C19,'Matches (สำหรับแอดมิน)'!$A$2:$G$100,5,FALSE)+
        VLOOKUP(C19,'Matches (สำหรับแอดมิน)'!$A$2:$G$100,6,FALSE)
    ),
    IF(
        OR(
            AND(
                VLOOKUP(C19,'Matches (สำหรับแอดมิน)'!$A$2:$G$100,5,FALSE)&gt;
                VLOOKUP(C19,'Matches (สำหรับแอดมิน)'!$A$2:$G$100,6,FALSE),
                E19&gt;G19
            ),
            AND(
                VLOOKUP(C19,'Matches (สำหรับแอดมิน)'!$A$2:$G$100,6,FALSE)&gt;
                VLOOKUP(C19,'Matches (สำหรับแอดมิน)'!$A$2:$G$100,5,FALSE),
                G19&gt;E19
            ),
            AND(
                VLOOKUP(C19,'Matches (สำหรับแอดมิน)'!$A$2:$G$100,5,FALSE)=
                VLOOKUP(C19,'Matches (สำหรับแอดมิน)'!$A$2:$G$100,6,FALSE),
                E19=G19
            )
        ),
        3,
        0
    )
))</f>
        <v>0</v>
      </c>
      <c r="I19" s="19"/>
      <c r="J19" s="19"/>
    </row>
    <row r="20" spans="1:10" ht="22.5" customHeight="1">
      <c r="A20" s="15" t="str">
        <f t="shared" si="0"/>
        <v>Mun_M2</v>
      </c>
      <c r="B20" s="16" t="s">
        <v>186</v>
      </c>
      <c r="C20" s="17">
        <v>2</v>
      </c>
      <c r="D20" s="15" t="str">
        <f>VLOOKUP(C20,'Matches (สำหรับแอดมิน)'!$A$2:$D$105,3,FALSE)</f>
        <v>South Korea</v>
      </c>
      <c r="E20" s="15"/>
      <c r="F20" s="15" t="str">
        <f>VLOOKUP(C20,'Matches (สำหรับแอดมิน)'!$A$2:$D$105,4,FALSE)</f>
        <v>Czechia</v>
      </c>
      <c r="G20" s="15"/>
      <c r="H20" s="18">
        <f>IF(VLOOKUP(C20,'Matches (สำหรับแอดมิน)'!$A$2:$G$100,7,FALSE)&lt;&gt;"จบแล้ว",0,
IF(
    AND(
        E20=VLOOKUP(C20,'Matches (สำหรับแอดมิน)'!$A$2:$G$100,5,FALSE),
        G20=VLOOKUP(C20,'Matches (สำหรับแอดมิน)'!$A$2:$G$100,6,FALSE)
    ),
    IF(
        AND(
            VLOOKUP(C20,'Matches (สำหรับแอดมิน)'!$A$2:$G$100,5,FALSE)=0,
            VLOOKUP(C20,'Matches (สำหรับแอดมิน)'!$A$2:$G$100,6,FALSE)=0
        ),
        4,
        3+
        VLOOKUP(C20,'Matches (สำหรับแอดมิน)'!$A$2:$G$100,5,FALSE)+
        VLOOKUP(C20,'Matches (สำหรับแอดมิน)'!$A$2:$G$100,6,FALSE)
    ),
    IF(
        OR(
            AND(
                VLOOKUP(C20,'Matches (สำหรับแอดมิน)'!$A$2:$G$100,5,FALSE)&gt;
                VLOOKUP(C20,'Matches (สำหรับแอดมิน)'!$A$2:$G$100,6,FALSE),
                E20&gt;G20
            ),
            AND(
                VLOOKUP(C20,'Matches (สำหรับแอดมิน)'!$A$2:$G$100,6,FALSE)&gt;
                VLOOKUP(C20,'Matches (สำหรับแอดมิน)'!$A$2:$G$100,5,FALSE),
                G20&gt;E20
            ),
            AND(
                VLOOKUP(C20,'Matches (สำหรับแอดมิน)'!$A$2:$G$100,5,FALSE)=
                VLOOKUP(C20,'Matches (สำหรับแอดมิน)'!$A$2:$G$100,6,FALSE),
                E20=G20
            )
        ),
        3,
        0
    )
))</f>
        <v>0</v>
      </c>
      <c r="I20" s="19"/>
      <c r="J20" s="19"/>
    </row>
    <row r="21" spans="1:10" ht="22.5" customHeight="1">
      <c r="A21" s="15" t="str">
        <f t="shared" si="0"/>
        <v>Mig_M2</v>
      </c>
      <c r="B21" s="16" t="s">
        <v>187</v>
      </c>
      <c r="C21" s="17">
        <v>2</v>
      </c>
      <c r="D21" s="15" t="str">
        <f>VLOOKUP(C21,'Matches (สำหรับแอดมิน)'!$A$2:$D$105,3,FALSE)</f>
        <v>South Korea</v>
      </c>
      <c r="E21" s="15"/>
      <c r="F21" s="15" t="str">
        <f>VLOOKUP(C21,'Matches (สำหรับแอดมิน)'!$A$2:$D$105,4,FALSE)</f>
        <v>Czechia</v>
      </c>
      <c r="G21" s="15"/>
      <c r="H21" s="18">
        <f>IF(VLOOKUP(C21,'Matches (สำหรับแอดมิน)'!$A$2:$G$100,7,FALSE)&lt;&gt;"จบแล้ว",0,
IF(
    AND(
        E21=VLOOKUP(C21,'Matches (สำหรับแอดมิน)'!$A$2:$G$100,5,FALSE),
        G21=VLOOKUP(C21,'Matches (สำหรับแอดมิน)'!$A$2:$G$100,6,FALSE)
    ),
    IF(
        AND(
            VLOOKUP(C21,'Matches (สำหรับแอดมิน)'!$A$2:$G$100,5,FALSE)=0,
            VLOOKUP(C21,'Matches (สำหรับแอดมิน)'!$A$2:$G$100,6,FALSE)=0
        ),
        4,
        3+
        VLOOKUP(C21,'Matches (สำหรับแอดมิน)'!$A$2:$G$100,5,FALSE)+
        VLOOKUP(C21,'Matches (สำหรับแอดมิน)'!$A$2:$G$100,6,FALSE)
    ),
    IF(
        OR(
            AND(
                VLOOKUP(C21,'Matches (สำหรับแอดมิน)'!$A$2:$G$100,5,FALSE)&gt;
                VLOOKUP(C21,'Matches (สำหรับแอดมิน)'!$A$2:$G$100,6,FALSE),
                E21&gt;G21
            ),
            AND(
                VLOOKUP(C21,'Matches (สำหรับแอดมิน)'!$A$2:$G$100,6,FALSE)&gt;
                VLOOKUP(C21,'Matches (สำหรับแอดมิน)'!$A$2:$G$100,5,FALSE),
                G21&gt;E21
            ),
            AND(
                VLOOKUP(C21,'Matches (สำหรับแอดมิน)'!$A$2:$G$100,5,FALSE)=
                VLOOKUP(C21,'Matches (สำหรับแอดมิน)'!$A$2:$G$100,6,FALSE),
                E21=G21
            )
        ),
        3,
        0
    )
))</f>
        <v>0</v>
      </c>
      <c r="I21" s="19"/>
      <c r="J21" s="19"/>
    </row>
    <row r="22" spans="1:10" ht="22.5" customHeight="1">
      <c r="A22" s="15" t="str">
        <f t="shared" si="0"/>
        <v>Ball_M3</v>
      </c>
      <c r="B22" s="24" t="s">
        <v>177</v>
      </c>
      <c r="C22" s="17">
        <v>3</v>
      </c>
      <c r="D22" s="15" t="str">
        <f>VLOOKUP(C22,'Matches (สำหรับแอดมิน)'!$A$2:$D$105,3,FALSE)</f>
        <v>Canada</v>
      </c>
      <c r="E22" s="15"/>
      <c r="F22" s="15" t="str">
        <f>VLOOKUP(C22,'Matches (สำหรับแอดมิน)'!$A$2:$D$105,4,FALSE)</f>
        <v>Bosnia</v>
      </c>
      <c r="G22" s="15"/>
      <c r="H22" s="18">
        <f>IF(VLOOKUP(C22,'Matches (สำหรับแอดมิน)'!$A$2:$G$100,7,FALSE)&lt;&gt;"จบแล้ว",0,
IF(
    AND(
        E22=VLOOKUP(C22,'Matches (สำหรับแอดมิน)'!$A$2:$G$100,5,FALSE),
        G22=VLOOKUP(C22,'Matches (สำหรับแอดมิน)'!$A$2:$G$100,6,FALSE)
    ),
    IF(
        AND(
            VLOOKUP(C22,'Matches (สำหรับแอดมิน)'!$A$2:$G$100,5,FALSE)=0,
            VLOOKUP(C22,'Matches (สำหรับแอดมิน)'!$A$2:$G$100,6,FALSE)=0
        ),
        4,
        3+
        VLOOKUP(C22,'Matches (สำหรับแอดมิน)'!$A$2:$G$100,5,FALSE)+
        VLOOKUP(C22,'Matches (สำหรับแอดมิน)'!$A$2:$G$100,6,FALSE)
    ),
    IF(
        OR(
            AND(
                VLOOKUP(C22,'Matches (สำหรับแอดมิน)'!$A$2:$G$100,5,FALSE)&gt;
                VLOOKUP(C22,'Matches (สำหรับแอดมิน)'!$A$2:$G$100,6,FALSE),
                E22&gt;G22
            ),
            AND(
                VLOOKUP(C22,'Matches (สำหรับแอดมิน)'!$A$2:$G$100,6,FALSE)&gt;
                VLOOKUP(C22,'Matches (สำหรับแอดมิน)'!$A$2:$G$100,5,FALSE),
                G22&gt;E22
            ),
            AND(
                VLOOKUP(C22,'Matches (สำหรับแอดมิน)'!$A$2:$G$100,5,FALSE)=
                VLOOKUP(C22,'Matches (สำหรับแอดมิน)'!$A$2:$G$100,6,FALSE),
                E22=G22
            )
        ),
        3,
        0
    )
))</f>
        <v>0</v>
      </c>
      <c r="I22" s="19"/>
      <c r="J22" s="19"/>
    </row>
    <row r="23" spans="1:10" ht="22.5" customHeight="1">
      <c r="A23" s="15" t="str">
        <f t="shared" si="0"/>
        <v>Been_M3</v>
      </c>
      <c r="B23" s="24" t="s">
        <v>178</v>
      </c>
      <c r="C23" s="17">
        <v>3</v>
      </c>
      <c r="D23" s="15" t="str">
        <f>VLOOKUP(C23,'Matches (สำหรับแอดมิน)'!$A$2:$D$105,3,FALSE)</f>
        <v>Canada</v>
      </c>
      <c r="E23" s="15"/>
      <c r="F23" s="15" t="str">
        <f>VLOOKUP(C23,'Matches (สำหรับแอดมิน)'!$A$2:$D$105,4,FALSE)</f>
        <v>Bosnia</v>
      </c>
      <c r="G23" s="15"/>
      <c r="H23" s="18">
        <f>IF(VLOOKUP(C23,'Matches (สำหรับแอดมิน)'!$A$2:$G$100,7,FALSE)&lt;&gt;"จบแล้ว",0,
IF(
    AND(
        E23=VLOOKUP(C23,'Matches (สำหรับแอดมิน)'!$A$2:$G$100,5,FALSE),
        G23=VLOOKUP(C23,'Matches (สำหรับแอดมิน)'!$A$2:$G$100,6,FALSE)
    ),
    IF(
        AND(
            VLOOKUP(C23,'Matches (สำหรับแอดมิน)'!$A$2:$G$100,5,FALSE)=0,
            VLOOKUP(C23,'Matches (สำหรับแอดมิน)'!$A$2:$G$100,6,FALSE)=0
        ),
        4,
        3+
        VLOOKUP(C23,'Matches (สำหรับแอดมิน)'!$A$2:$G$100,5,FALSE)+
        VLOOKUP(C23,'Matches (สำหรับแอดมิน)'!$A$2:$G$100,6,FALSE)
    ),
    IF(
        OR(
            AND(
                VLOOKUP(C23,'Matches (สำหรับแอดมิน)'!$A$2:$G$100,5,FALSE)&gt;
                VLOOKUP(C23,'Matches (สำหรับแอดมิน)'!$A$2:$G$100,6,FALSE),
                E23&gt;G23
            ),
            AND(
                VLOOKUP(C23,'Matches (สำหรับแอดมิน)'!$A$2:$G$100,6,FALSE)&gt;
                VLOOKUP(C23,'Matches (สำหรับแอดมิน)'!$A$2:$G$100,5,FALSE),
                G23&gt;E23
            ),
            AND(
                VLOOKUP(C23,'Matches (สำหรับแอดมิน)'!$A$2:$G$100,5,FALSE)=
                VLOOKUP(C23,'Matches (สำหรับแอดมิน)'!$A$2:$G$100,6,FALSE),
                E23=G23
            )
        ),
        3,
        0
    )
))</f>
        <v>0</v>
      </c>
      <c r="I23" s="19"/>
      <c r="J23" s="19"/>
    </row>
    <row r="24" spans="1:10" ht="22.5" customHeight="1">
      <c r="A24" s="15" t="str">
        <f t="shared" si="0"/>
        <v>Faro_M3</v>
      </c>
      <c r="B24" s="24" t="s">
        <v>179</v>
      </c>
      <c r="C24" s="22">
        <v>3</v>
      </c>
      <c r="D24" s="23" t="str">
        <f>VLOOKUP(C24,'Matches (สำหรับแอดมิน)'!$A$2:$D$105,3,FALSE)</f>
        <v>Canada</v>
      </c>
      <c r="E24" s="15">
        <v>2</v>
      </c>
      <c r="F24" s="15" t="str">
        <f>VLOOKUP(C24,'Matches (สำหรับแอดมิน)'!$A$2:$D$105,4,FALSE)</f>
        <v>Bosnia</v>
      </c>
      <c r="G24" s="15">
        <v>1</v>
      </c>
      <c r="H24" s="18">
        <f>IF(VLOOKUP(C24,'Matches (สำหรับแอดมิน)'!$A$2:$G$100,7,FALSE)&lt;&gt;"จบแล้ว",0,
IF(
    AND(
        E24=VLOOKUP(C24,'Matches (สำหรับแอดมิน)'!$A$2:$G$100,5,FALSE),
        G24=VLOOKUP(C24,'Matches (สำหรับแอดมิน)'!$A$2:$G$100,6,FALSE)
    ),
    IF(
        AND(
            VLOOKUP(C24,'Matches (สำหรับแอดมิน)'!$A$2:$G$100,5,FALSE)=0,
            VLOOKUP(C24,'Matches (สำหรับแอดมิน)'!$A$2:$G$100,6,FALSE)=0
        ),
        4,
        3+
        VLOOKUP(C24,'Matches (สำหรับแอดมิน)'!$A$2:$G$100,5,FALSE)+
        VLOOKUP(C24,'Matches (สำหรับแอดมิน)'!$A$2:$G$100,6,FALSE)
    ),
    IF(
        OR(
            AND(
                VLOOKUP(C24,'Matches (สำหรับแอดมิน)'!$A$2:$G$100,5,FALSE)&gt;
                VLOOKUP(C24,'Matches (สำหรับแอดมิน)'!$A$2:$G$100,6,FALSE),
                E24&gt;G24
            ),
            AND(
                VLOOKUP(C24,'Matches (สำหรับแอดมิน)'!$A$2:$G$100,6,FALSE)&gt;
                VLOOKUP(C24,'Matches (สำหรับแอดมิน)'!$A$2:$G$100,5,FALSE),
                G24&gt;E24
            ),
            AND(
                VLOOKUP(C24,'Matches (สำหรับแอดมิน)'!$A$2:$G$100,5,FALSE)=
                VLOOKUP(C24,'Matches (สำหรับแอดมิน)'!$A$2:$G$100,6,FALSE),
                E24=G24
            )
        ),
        3,
        0
    )
))</f>
        <v>0</v>
      </c>
      <c r="I24" s="19"/>
      <c r="J24" s="19"/>
    </row>
    <row r="25" spans="1:10" ht="22.5" customHeight="1">
      <c r="A25" s="15" t="str">
        <f t="shared" si="0"/>
        <v>Oat_M3</v>
      </c>
      <c r="B25" s="24" t="s">
        <v>180</v>
      </c>
      <c r="C25" s="22">
        <v>3</v>
      </c>
      <c r="D25" s="23" t="str">
        <f>VLOOKUP(C25,'Matches (สำหรับแอดมิน)'!$A$2:$D$105,3,FALSE)</f>
        <v>Canada</v>
      </c>
      <c r="E25" s="15">
        <v>1</v>
      </c>
      <c r="F25" s="15" t="str">
        <f>VLOOKUP(C25,'Matches (สำหรับแอดมิน)'!$A$2:$D$105,4,FALSE)</f>
        <v>Bosnia</v>
      </c>
      <c r="G25" s="15">
        <v>0</v>
      </c>
      <c r="H25" s="18">
        <f>IF(VLOOKUP(C25,'Matches (สำหรับแอดมิน)'!$A$2:$G$100,7,FALSE)&lt;&gt;"จบแล้ว",0,
IF(
    AND(
        E25=VLOOKUP(C25,'Matches (สำหรับแอดมิน)'!$A$2:$G$100,5,FALSE),
        G25=VLOOKUP(C25,'Matches (สำหรับแอดมิน)'!$A$2:$G$100,6,FALSE)
    ),
    IF(
        AND(
            VLOOKUP(C25,'Matches (สำหรับแอดมิน)'!$A$2:$G$100,5,FALSE)=0,
            VLOOKUP(C25,'Matches (สำหรับแอดมิน)'!$A$2:$G$100,6,FALSE)=0
        ),
        4,
        3+
        VLOOKUP(C25,'Matches (สำหรับแอดมิน)'!$A$2:$G$100,5,FALSE)+
        VLOOKUP(C25,'Matches (สำหรับแอดมิน)'!$A$2:$G$100,6,FALSE)
    ),
    IF(
        OR(
            AND(
                VLOOKUP(C25,'Matches (สำหรับแอดมิน)'!$A$2:$G$100,5,FALSE)&gt;
                VLOOKUP(C25,'Matches (สำหรับแอดมิน)'!$A$2:$G$100,6,FALSE),
                E25&gt;G25
            ),
            AND(
                VLOOKUP(C25,'Matches (สำหรับแอดมิน)'!$A$2:$G$100,6,FALSE)&gt;
                VLOOKUP(C25,'Matches (สำหรับแอดมิน)'!$A$2:$G$100,5,FALSE),
                G25&gt;E25
            ),
            AND(
                VLOOKUP(C25,'Matches (สำหรับแอดมิน)'!$A$2:$G$100,5,FALSE)=
                VLOOKUP(C25,'Matches (สำหรับแอดมิน)'!$A$2:$G$100,6,FALSE),
                E25=G25
            )
        ),
        3,
        0
    )
))</f>
        <v>0</v>
      </c>
      <c r="I25" s="19"/>
      <c r="J25" s="19"/>
    </row>
    <row r="26" spans="1:10" ht="22.5" customHeight="1">
      <c r="A26" s="15" t="str">
        <f t="shared" si="0"/>
        <v>Kob_M3</v>
      </c>
      <c r="B26" s="24" t="s">
        <v>181</v>
      </c>
      <c r="C26" s="17">
        <v>3</v>
      </c>
      <c r="D26" s="15" t="str">
        <f>VLOOKUP(C26,'Matches (สำหรับแอดมิน)'!$A$2:$D$105,3,FALSE)</f>
        <v>Canada</v>
      </c>
      <c r="E26" s="15">
        <v>1</v>
      </c>
      <c r="F26" s="15" t="str">
        <f>VLOOKUP(C26,'Matches (สำหรับแอดมิน)'!$A$2:$D$105,4,FALSE)</f>
        <v>Bosnia</v>
      </c>
      <c r="G26" s="15">
        <v>3</v>
      </c>
      <c r="H26" s="18">
        <f>IF(VLOOKUP(C26,'Matches (สำหรับแอดมิน)'!$A$2:$G$100,7,FALSE)&lt;&gt;"จบแล้ว",0,
IF(
    AND(
        E26=VLOOKUP(C26,'Matches (สำหรับแอดมิน)'!$A$2:$G$100,5,FALSE),
        G26=VLOOKUP(C26,'Matches (สำหรับแอดมิน)'!$A$2:$G$100,6,FALSE)
    ),
    IF(
        AND(
            VLOOKUP(C26,'Matches (สำหรับแอดมิน)'!$A$2:$G$100,5,FALSE)=0,
            VLOOKUP(C26,'Matches (สำหรับแอดมิน)'!$A$2:$G$100,6,FALSE)=0
        ),
        4,
        3+
        VLOOKUP(C26,'Matches (สำหรับแอดมิน)'!$A$2:$G$100,5,FALSE)+
        VLOOKUP(C26,'Matches (สำหรับแอดมิน)'!$A$2:$G$100,6,FALSE)
    ),
    IF(
        OR(
            AND(
                VLOOKUP(C26,'Matches (สำหรับแอดมิน)'!$A$2:$G$100,5,FALSE)&gt;
                VLOOKUP(C26,'Matches (สำหรับแอดมิน)'!$A$2:$G$100,6,FALSE),
                E26&gt;G26
            ),
            AND(
                VLOOKUP(C26,'Matches (สำหรับแอดมิน)'!$A$2:$G$100,6,FALSE)&gt;
                VLOOKUP(C26,'Matches (สำหรับแอดมิน)'!$A$2:$G$100,5,FALSE),
                G26&gt;E26
            ),
            AND(
                VLOOKUP(C26,'Matches (สำหรับแอดมิน)'!$A$2:$G$100,5,FALSE)=
                VLOOKUP(C26,'Matches (สำหรับแอดมิน)'!$A$2:$G$100,6,FALSE),
                E26=G26
            )
        ),
        3,
        0
    )
))</f>
        <v>0</v>
      </c>
      <c r="I26" s="19"/>
      <c r="J26" s="19"/>
    </row>
    <row r="27" spans="1:10" ht="22.5" customHeight="1">
      <c r="A27" s="15" t="str">
        <f t="shared" si="0"/>
        <v>Aof_M3</v>
      </c>
      <c r="B27" s="24" t="s">
        <v>182</v>
      </c>
      <c r="C27" s="17">
        <v>3</v>
      </c>
      <c r="D27" s="15" t="str">
        <f>VLOOKUP(C27,'Matches (สำหรับแอดมิน)'!$A$2:$D$105,3,FALSE)</f>
        <v>Canada</v>
      </c>
      <c r="E27" s="15">
        <v>0</v>
      </c>
      <c r="F27" s="15" t="str">
        <f>VLOOKUP(C27,'Matches (สำหรับแอดมิน)'!$A$2:$D$105,4,FALSE)</f>
        <v>Bosnia</v>
      </c>
      <c r="G27" s="15">
        <v>2</v>
      </c>
      <c r="H27" s="18">
        <f>IF(VLOOKUP(C27,'Matches (สำหรับแอดมิน)'!$A$2:$G$100,7,FALSE)&lt;&gt;"จบแล้ว",0,
IF(
    AND(
        E27=VLOOKUP(C27,'Matches (สำหรับแอดมิน)'!$A$2:$G$100,5,FALSE),
        G27=VLOOKUP(C27,'Matches (สำหรับแอดมิน)'!$A$2:$G$100,6,FALSE)
    ),
    IF(
        AND(
            VLOOKUP(C27,'Matches (สำหรับแอดมิน)'!$A$2:$G$100,5,FALSE)=0,
            VLOOKUP(C27,'Matches (สำหรับแอดมิน)'!$A$2:$G$100,6,FALSE)=0
        ),
        4,
        3+
        VLOOKUP(C27,'Matches (สำหรับแอดมิน)'!$A$2:$G$100,5,FALSE)+
        VLOOKUP(C27,'Matches (สำหรับแอดมิน)'!$A$2:$G$100,6,FALSE)
    ),
    IF(
        OR(
            AND(
                VLOOKUP(C27,'Matches (สำหรับแอดมิน)'!$A$2:$G$100,5,FALSE)&gt;
                VLOOKUP(C27,'Matches (สำหรับแอดมิน)'!$A$2:$G$100,6,FALSE),
                E27&gt;G27
            ),
            AND(
                VLOOKUP(C27,'Matches (สำหรับแอดมิน)'!$A$2:$G$100,6,FALSE)&gt;
                VLOOKUP(C27,'Matches (สำหรับแอดมิน)'!$A$2:$G$100,5,FALSE),
                G27&gt;E27
            ),
            AND(
                VLOOKUP(C27,'Matches (สำหรับแอดมิน)'!$A$2:$G$100,5,FALSE)=
                VLOOKUP(C27,'Matches (สำหรับแอดมิน)'!$A$2:$G$100,6,FALSE),
                E27=G27
            )
        ),
        3,
        0
    )
))</f>
        <v>0</v>
      </c>
      <c r="I27" s="19"/>
      <c r="J27" s="19"/>
    </row>
    <row r="28" spans="1:10" ht="22.5" customHeight="1">
      <c r="A28" s="15" t="str">
        <f t="shared" si="0"/>
        <v>Ice_M3</v>
      </c>
      <c r="B28" s="24" t="s">
        <v>183</v>
      </c>
      <c r="C28" s="17">
        <v>3</v>
      </c>
      <c r="D28" s="15" t="str">
        <f>VLOOKUP(C28,'Matches (สำหรับแอดมิน)'!$A$2:$D$105,3,FALSE)</f>
        <v>Canada</v>
      </c>
      <c r="E28" s="15"/>
      <c r="F28" s="15" t="str">
        <f>VLOOKUP(C28,'Matches (สำหรับแอดมิน)'!$A$2:$D$105,4,FALSE)</f>
        <v>Bosnia</v>
      </c>
      <c r="G28" s="15"/>
      <c r="H28" s="18">
        <f>IF(VLOOKUP(C28,'Matches (สำหรับแอดมิน)'!$A$2:$G$100,7,FALSE)&lt;&gt;"จบแล้ว",0,
IF(
    AND(
        E28=VLOOKUP(C28,'Matches (สำหรับแอดมิน)'!$A$2:$G$100,5,FALSE),
        G28=VLOOKUP(C28,'Matches (สำหรับแอดมิน)'!$A$2:$G$100,6,FALSE)
    ),
    IF(
        AND(
            VLOOKUP(C28,'Matches (สำหรับแอดมิน)'!$A$2:$G$100,5,FALSE)=0,
            VLOOKUP(C28,'Matches (สำหรับแอดมิน)'!$A$2:$G$100,6,FALSE)=0
        ),
        4,
        3+
        VLOOKUP(C28,'Matches (สำหรับแอดมิน)'!$A$2:$G$100,5,FALSE)+
        VLOOKUP(C28,'Matches (สำหรับแอดมิน)'!$A$2:$G$100,6,FALSE)
    ),
    IF(
        OR(
            AND(
                VLOOKUP(C28,'Matches (สำหรับแอดมิน)'!$A$2:$G$100,5,FALSE)&gt;
                VLOOKUP(C28,'Matches (สำหรับแอดมิน)'!$A$2:$G$100,6,FALSE),
                E28&gt;G28
            ),
            AND(
                VLOOKUP(C28,'Matches (สำหรับแอดมิน)'!$A$2:$G$100,6,FALSE)&gt;
                VLOOKUP(C28,'Matches (สำหรับแอดมิน)'!$A$2:$G$100,5,FALSE),
                G28&gt;E28
            ),
            AND(
                VLOOKUP(C28,'Matches (สำหรับแอดมิน)'!$A$2:$G$100,5,FALSE)=
                VLOOKUP(C28,'Matches (สำหรับแอดมิน)'!$A$2:$G$100,6,FALSE),
                E28=G28
            )
        ),
        3,
        0
    )
))</f>
        <v>0</v>
      </c>
      <c r="I28" s="19"/>
      <c r="J28" s="19"/>
    </row>
    <row r="29" spans="1:10" ht="22.5" customHeight="1">
      <c r="A29" s="15" t="str">
        <f t="shared" si="0"/>
        <v>Golf_M3</v>
      </c>
      <c r="B29" s="24" t="s">
        <v>185</v>
      </c>
      <c r="C29" s="17">
        <v>3</v>
      </c>
      <c r="D29" s="15" t="str">
        <f>VLOOKUP(C29,'Matches (สำหรับแอดมิน)'!$A$2:$D$105,3,FALSE)</f>
        <v>Canada</v>
      </c>
      <c r="E29" s="15"/>
      <c r="F29" s="15" t="str">
        <f>VLOOKUP(C29,'Matches (สำหรับแอดมิน)'!$A$2:$D$105,4,FALSE)</f>
        <v>Bosnia</v>
      </c>
      <c r="G29" s="15"/>
      <c r="H29" s="18">
        <f>IF(VLOOKUP(C29,'Matches (สำหรับแอดมิน)'!$A$2:$G$100,7,FALSE)&lt;&gt;"จบแล้ว",0,
IF(
    AND(
        E29=VLOOKUP(C29,'Matches (สำหรับแอดมิน)'!$A$2:$G$100,5,FALSE),
        G29=VLOOKUP(C29,'Matches (สำหรับแอดมิน)'!$A$2:$G$100,6,FALSE)
    ),
    IF(
        AND(
            VLOOKUP(C29,'Matches (สำหรับแอดมิน)'!$A$2:$G$100,5,FALSE)=0,
            VLOOKUP(C29,'Matches (สำหรับแอดมิน)'!$A$2:$G$100,6,FALSE)=0
        ),
        4,
        3+
        VLOOKUP(C29,'Matches (สำหรับแอดมิน)'!$A$2:$G$100,5,FALSE)+
        VLOOKUP(C29,'Matches (สำหรับแอดมิน)'!$A$2:$G$100,6,FALSE)
    ),
    IF(
        OR(
            AND(
                VLOOKUP(C29,'Matches (สำหรับแอดมิน)'!$A$2:$G$100,5,FALSE)&gt;
                VLOOKUP(C29,'Matches (สำหรับแอดมิน)'!$A$2:$G$100,6,FALSE),
                E29&gt;G29
            ),
            AND(
                VLOOKUP(C29,'Matches (สำหรับแอดมิน)'!$A$2:$G$100,6,FALSE)&gt;
                VLOOKUP(C29,'Matches (สำหรับแอดมิน)'!$A$2:$G$100,5,FALSE),
                G29&gt;E29
            ),
            AND(
                VLOOKUP(C29,'Matches (สำหรับแอดมิน)'!$A$2:$G$100,5,FALSE)=
                VLOOKUP(C29,'Matches (สำหรับแอดมิน)'!$A$2:$G$100,6,FALSE),
                E29=G29
            )
        ),
        3,
        0
    )
))</f>
        <v>0</v>
      </c>
      <c r="I29" s="19"/>
      <c r="J29" s="19"/>
    </row>
    <row r="30" spans="1:10" ht="22.5" customHeight="1">
      <c r="A30" s="15" t="str">
        <f t="shared" si="0"/>
        <v>Mun_M3</v>
      </c>
      <c r="B30" s="24" t="s">
        <v>186</v>
      </c>
      <c r="C30" s="17">
        <v>3</v>
      </c>
      <c r="D30" s="15" t="str">
        <f>VLOOKUP(C30,'Matches (สำหรับแอดมิน)'!$A$2:$D$105,3,FALSE)</f>
        <v>Canada</v>
      </c>
      <c r="E30" s="15"/>
      <c r="F30" s="15" t="str">
        <f>VLOOKUP(C30,'Matches (สำหรับแอดมิน)'!$A$2:$D$105,4,FALSE)</f>
        <v>Bosnia</v>
      </c>
      <c r="G30" s="15"/>
      <c r="H30" s="18">
        <f>IF(VLOOKUP(C30,'Matches (สำหรับแอดมิน)'!$A$2:$G$100,7,FALSE)&lt;&gt;"จบแล้ว",0,
IF(
    AND(
        E30=VLOOKUP(C30,'Matches (สำหรับแอดมิน)'!$A$2:$G$100,5,FALSE),
        G30=VLOOKUP(C30,'Matches (สำหรับแอดมิน)'!$A$2:$G$100,6,FALSE)
    ),
    IF(
        AND(
            VLOOKUP(C30,'Matches (สำหรับแอดมิน)'!$A$2:$G$100,5,FALSE)=0,
            VLOOKUP(C30,'Matches (สำหรับแอดมิน)'!$A$2:$G$100,6,FALSE)=0
        ),
        4,
        3+
        VLOOKUP(C30,'Matches (สำหรับแอดมิน)'!$A$2:$G$100,5,FALSE)+
        VLOOKUP(C30,'Matches (สำหรับแอดมิน)'!$A$2:$G$100,6,FALSE)
    ),
    IF(
        OR(
            AND(
                VLOOKUP(C30,'Matches (สำหรับแอดมิน)'!$A$2:$G$100,5,FALSE)&gt;
                VLOOKUP(C30,'Matches (สำหรับแอดมิน)'!$A$2:$G$100,6,FALSE),
                E30&gt;G30
            ),
            AND(
                VLOOKUP(C30,'Matches (สำหรับแอดมิน)'!$A$2:$G$100,6,FALSE)&gt;
                VLOOKUP(C30,'Matches (สำหรับแอดมิน)'!$A$2:$G$100,5,FALSE),
                G30&gt;E30
            ),
            AND(
                VLOOKUP(C30,'Matches (สำหรับแอดมิน)'!$A$2:$G$100,5,FALSE)=
                VLOOKUP(C30,'Matches (สำหรับแอดมิน)'!$A$2:$G$100,6,FALSE),
                E30=G30
            )
        ),
        3,
        0
    )
))</f>
        <v>0</v>
      </c>
      <c r="I30" s="19"/>
      <c r="J30" s="19"/>
    </row>
    <row r="31" spans="1:10" ht="22.5" customHeight="1">
      <c r="A31" s="15" t="str">
        <f t="shared" si="0"/>
        <v>Mig_M3</v>
      </c>
      <c r="B31" s="24" t="s">
        <v>187</v>
      </c>
      <c r="C31" s="17">
        <v>3</v>
      </c>
      <c r="D31" s="15" t="str">
        <f>VLOOKUP(C31,'Matches (สำหรับแอดมิน)'!$A$2:$D$105,3,FALSE)</f>
        <v>Canada</v>
      </c>
      <c r="E31" s="15"/>
      <c r="F31" s="15" t="str">
        <f>VLOOKUP(C31,'Matches (สำหรับแอดมิน)'!$A$2:$D$105,4,FALSE)</f>
        <v>Bosnia</v>
      </c>
      <c r="G31" s="15"/>
      <c r="H31" s="18">
        <f>IF(VLOOKUP(C31,'Matches (สำหรับแอดมิน)'!$A$2:$G$100,7,FALSE)&lt;&gt;"จบแล้ว",0,
IF(
    AND(
        E31=VLOOKUP(C31,'Matches (สำหรับแอดมิน)'!$A$2:$G$100,5,FALSE),
        G31=VLOOKUP(C31,'Matches (สำหรับแอดมิน)'!$A$2:$G$100,6,FALSE)
    ),
    IF(
        AND(
            VLOOKUP(C31,'Matches (สำหรับแอดมิน)'!$A$2:$G$100,5,FALSE)=0,
            VLOOKUP(C31,'Matches (สำหรับแอดมิน)'!$A$2:$G$100,6,FALSE)=0
        ),
        4,
        3+
        VLOOKUP(C31,'Matches (สำหรับแอดมิน)'!$A$2:$G$100,5,FALSE)+
        VLOOKUP(C31,'Matches (สำหรับแอดมิน)'!$A$2:$G$100,6,FALSE)
    ),
    IF(
        OR(
            AND(
                VLOOKUP(C31,'Matches (สำหรับแอดมิน)'!$A$2:$G$100,5,FALSE)&gt;
                VLOOKUP(C31,'Matches (สำหรับแอดมิน)'!$A$2:$G$100,6,FALSE),
                E31&gt;G31
            ),
            AND(
                VLOOKUP(C31,'Matches (สำหรับแอดมิน)'!$A$2:$G$100,6,FALSE)&gt;
                VLOOKUP(C31,'Matches (สำหรับแอดมิน)'!$A$2:$G$100,5,FALSE),
                G31&gt;E31
            ),
            AND(
                VLOOKUP(C31,'Matches (สำหรับแอดมิน)'!$A$2:$G$100,5,FALSE)=
                VLOOKUP(C31,'Matches (สำหรับแอดมิน)'!$A$2:$G$100,6,FALSE),
                E31=G31
            )
        ),
        3,
        0
    )
))</f>
        <v>0</v>
      </c>
      <c r="I31" s="19"/>
      <c r="J31" s="19"/>
    </row>
    <row r="32" spans="1:10" ht="22.5" customHeight="1">
      <c r="A32" s="25" t="str">
        <f t="shared" si="0"/>
        <v>Ball_M4</v>
      </c>
      <c r="B32" s="16" t="s">
        <v>177</v>
      </c>
      <c r="C32" s="22">
        <v>4</v>
      </c>
      <c r="D32" s="23" t="str">
        <f>VLOOKUP(C32,'Matches (สำหรับแอดมิน)'!$A$2:$D$105,3,FALSE)</f>
        <v>United States</v>
      </c>
      <c r="E32" s="15"/>
      <c r="F32" s="15" t="str">
        <f>VLOOKUP(C32,'Matches (สำหรับแอดมิน)'!$A$2:$D$105,4,FALSE)</f>
        <v>Paraguay</v>
      </c>
      <c r="G32" s="15"/>
      <c r="H32" s="18">
        <f>IF(VLOOKUP(C32,'Matches (สำหรับแอดมิน)'!$A$2:$G$100,7,FALSE)&lt;&gt;"จบแล้ว",0,
IF(
    AND(
        E32=VLOOKUP(C32,'Matches (สำหรับแอดมิน)'!$A$2:$G$100,5,FALSE),
        G32=VLOOKUP(C32,'Matches (สำหรับแอดมิน)'!$A$2:$G$100,6,FALSE)
    ),
    IF(
        AND(
            VLOOKUP(C32,'Matches (สำหรับแอดมิน)'!$A$2:$G$100,5,FALSE)=0,
            VLOOKUP(C32,'Matches (สำหรับแอดมิน)'!$A$2:$G$100,6,FALSE)=0
        ),
        4,
        3+
        VLOOKUP(C32,'Matches (สำหรับแอดมิน)'!$A$2:$G$100,5,FALSE)+
        VLOOKUP(C32,'Matches (สำหรับแอดมิน)'!$A$2:$G$100,6,FALSE)
    ),
    IF(
        OR(
            AND(
                VLOOKUP(C32,'Matches (สำหรับแอดมิน)'!$A$2:$G$100,5,FALSE)&gt;
                VLOOKUP(C32,'Matches (สำหรับแอดมิน)'!$A$2:$G$100,6,FALSE),
                E32&gt;G32
            ),
            AND(
                VLOOKUP(C32,'Matches (สำหรับแอดมิน)'!$A$2:$G$100,6,FALSE)&gt;
                VLOOKUP(C32,'Matches (สำหรับแอดมิน)'!$A$2:$G$100,5,FALSE),
                G32&gt;E32
            ),
            AND(
                VLOOKUP(C32,'Matches (สำหรับแอดมิน)'!$A$2:$G$100,5,FALSE)=
                VLOOKUP(C32,'Matches (สำหรับแอดมิน)'!$A$2:$G$100,6,FALSE),
                E32=G32
            )
        ),
        3,
        0
    )
))</f>
        <v>0</v>
      </c>
      <c r="I32" s="19"/>
      <c r="J32" s="19"/>
    </row>
    <row r="33" spans="1:10" ht="22.5" customHeight="1">
      <c r="A33" s="25" t="str">
        <f t="shared" si="0"/>
        <v>Been_M4</v>
      </c>
      <c r="B33" s="16" t="s">
        <v>178</v>
      </c>
      <c r="C33" s="22">
        <v>4</v>
      </c>
      <c r="D33" s="23" t="str">
        <f>VLOOKUP(C33,'Matches (สำหรับแอดมิน)'!$A$2:$D$105,3,FALSE)</f>
        <v>United States</v>
      </c>
      <c r="E33" s="15"/>
      <c r="F33" s="15" t="str">
        <f>VLOOKUP(C33,'Matches (สำหรับแอดมิน)'!$A$2:$D$105,4,FALSE)</f>
        <v>Paraguay</v>
      </c>
      <c r="G33" s="15"/>
      <c r="H33" s="18">
        <f>IF(VLOOKUP(C33,'Matches (สำหรับแอดมิน)'!$A$2:$G$100,7,FALSE)&lt;&gt;"จบแล้ว",0,
IF(
    AND(
        E33=VLOOKUP(C33,'Matches (สำหรับแอดมิน)'!$A$2:$G$100,5,FALSE),
        G33=VLOOKUP(C33,'Matches (สำหรับแอดมิน)'!$A$2:$G$100,6,FALSE)
    ),
    IF(
        AND(
            VLOOKUP(C33,'Matches (สำหรับแอดมิน)'!$A$2:$G$100,5,FALSE)=0,
            VLOOKUP(C33,'Matches (สำหรับแอดมิน)'!$A$2:$G$100,6,FALSE)=0
        ),
        4,
        3+
        VLOOKUP(C33,'Matches (สำหรับแอดมิน)'!$A$2:$G$100,5,FALSE)+
        VLOOKUP(C33,'Matches (สำหรับแอดมิน)'!$A$2:$G$100,6,FALSE)
    ),
    IF(
        OR(
            AND(
                VLOOKUP(C33,'Matches (สำหรับแอดมิน)'!$A$2:$G$100,5,FALSE)&gt;
                VLOOKUP(C33,'Matches (สำหรับแอดมิน)'!$A$2:$G$100,6,FALSE),
                E33&gt;G33
            ),
            AND(
                VLOOKUP(C33,'Matches (สำหรับแอดมิน)'!$A$2:$G$100,6,FALSE)&gt;
                VLOOKUP(C33,'Matches (สำหรับแอดมิน)'!$A$2:$G$100,5,FALSE),
                G33&gt;E33
            ),
            AND(
                VLOOKUP(C33,'Matches (สำหรับแอดมิน)'!$A$2:$G$100,5,FALSE)=
                VLOOKUP(C33,'Matches (สำหรับแอดมิน)'!$A$2:$G$100,6,FALSE),
                E33=G33
            )
        ),
        3,
        0
    )
))</f>
        <v>0</v>
      </c>
      <c r="I33" s="19"/>
      <c r="J33" s="19"/>
    </row>
    <row r="34" spans="1:10" ht="22.5" customHeight="1">
      <c r="A34" s="25" t="str">
        <f t="shared" si="0"/>
        <v>Faro_M4</v>
      </c>
      <c r="B34" s="16" t="s">
        <v>179</v>
      </c>
      <c r="C34" s="22">
        <v>4</v>
      </c>
      <c r="D34" s="23" t="str">
        <f>VLOOKUP(C34,'Matches (สำหรับแอดมิน)'!$A$2:$D$105,3,FALSE)</f>
        <v>United States</v>
      </c>
      <c r="E34" s="15">
        <v>2</v>
      </c>
      <c r="F34" s="15" t="str">
        <f>VLOOKUP(C34,'Matches (สำหรับแอดมิน)'!$A$2:$D$105,4,FALSE)</f>
        <v>Paraguay</v>
      </c>
      <c r="G34" s="15">
        <v>0</v>
      </c>
      <c r="H34" s="18">
        <f>IF(VLOOKUP(C34,'Matches (สำหรับแอดมิน)'!$A$2:$G$100,7,FALSE)&lt;&gt;"จบแล้ว",0,
IF(
    AND(
        E34=VLOOKUP(C34,'Matches (สำหรับแอดมิน)'!$A$2:$G$100,5,FALSE),
        G34=VLOOKUP(C34,'Matches (สำหรับแอดมิน)'!$A$2:$G$100,6,FALSE)
    ),
    IF(
        AND(
            VLOOKUP(C34,'Matches (สำหรับแอดมิน)'!$A$2:$G$100,5,FALSE)=0,
            VLOOKUP(C34,'Matches (สำหรับแอดมิน)'!$A$2:$G$100,6,FALSE)=0
        ),
        4,
        3+
        VLOOKUP(C34,'Matches (สำหรับแอดมิน)'!$A$2:$G$100,5,FALSE)+
        VLOOKUP(C34,'Matches (สำหรับแอดมิน)'!$A$2:$G$100,6,FALSE)
    ),
    IF(
        OR(
            AND(
                VLOOKUP(C34,'Matches (สำหรับแอดมิน)'!$A$2:$G$100,5,FALSE)&gt;
                VLOOKUP(C34,'Matches (สำหรับแอดมิน)'!$A$2:$G$100,6,FALSE),
                E34&gt;G34
            ),
            AND(
                VLOOKUP(C34,'Matches (สำหรับแอดมิน)'!$A$2:$G$100,6,FALSE)&gt;
                VLOOKUP(C34,'Matches (สำหรับแอดมิน)'!$A$2:$G$100,5,FALSE),
                G34&gt;E34
            ),
            AND(
                VLOOKUP(C34,'Matches (สำหรับแอดมิน)'!$A$2:$G$100,5,FALSE)=
                VLOOKUP(C34,'Matches (สำหรับแอดมิน)'!$A$2:$G$100,6,FALSE),
                E34=G34
            )
        ),
        3,
        0
    )
))</f>
        <v>0</v>
      </c>
      <c r="I34" s="19"/>
      <c r="J34" s="19"/>
    </row>
    <row r="35" spans="1:10" ht="22.5" customHeight="1">
      <c r="A35" s="25" t="str">
        <f t="shared" si="0"/>
        <v>Oat_M4</v>
      </c>
      <c r="B35" s="16" t="s">
        <v>180</v>
      </c>
      <c r="C35" s="22">
        <v>4</v>
      </c>
      <c r="D35" s="23" t="str">
        <f>VLOOKUP(C35,'Matches (สำหรับแอดมิน)'!$A$2:$D$105,3,FALSE)</f>
        <v>United States</v>
      </c>
      <c r="E35" s="15">
        <v>1</v>
      </c>
      <c r="F35" s="15" t="str">
        <f>VLOOKUP(C35,'Matches (สำหรับแอดมิน)'!$A$2:$D$105,4,FALSE)</f>
        <v>Paraguay</v>
      </c>
      <c r="G35" s="15">
        <v>1</v>
      </c>
      <c r="H35" s="18">
        <f>IF(VLOOKUP(C35,'Matches (สำหรับแอดมิน)'!$A$2:$G$100,7,FALSE)&lt;&gt;"จบแล้ว",0,
IF(
    AND(
        E35=VLOOKUP(C35,'Matches (สำหรับแอดมิน)'!$A$2:$G$100,5,FALSE),
        G35=VLOOKUP(C35,'Matches (สำหรับแอดมิน)'!$A$2:$G$100,6,FALSE)
    ),
    IF(
        AND(
            VLOOKUP(C35,'Matches (สำหรับแอดมิน)'!$A$2:$G$100,5,FALSE)=0,
            VLOOKUP(C35,'Matches (สำหรับแอดมิน)'!$A$2:$G$100,6,FALSE)=0
        ),
        4,
        3+
        VLOOKUP(C35,'Matches (สำหรับแอดมิน)'!$A$2:$G$100,5,FALSE)+
        VLOOKUP(C35,'Matches (สำหรับแอดมิน)'!$A$2:$G$100,6,FALSE)
    ),
    IF(
        OR(
            AND(
                VLOOKUP(C35,'Matches (สำหรับแอดมิน)'!$A$2:$G$100,5,FALSE)&gt;
                VLOOKUP(C35,'Matches (สำหรับแอดมิน)'!$A$2:$G$100,6,FALSE),
                E35&gt;G35
            ),
            AND(
                VLOOKUP(C35,'Matches (สำหรับแอดมิน)'!$A$2:$G$100,6,FALSE)&gt;
                VLOOKUP(C35,'Matches (สำหรับแอดมิน)'!$A$2:$G$100,5,FALSE),
                G35&gt;E35
            ),
            AND(
                VLOOKUP(C35,'Matches (สำหรับแอดมิน)'!$A$2:$G$100,5,FALSE)=
                VLOOKUP(C35,'Matches (สำหรับแอดมิน)'!$A$2:$G$100,6,FALSE),
                E35=G35
            )
        ),
        3,
        0
    )
))</f>
        <v>0</v>
      </c>
      <c r="I35" s="19"/>
      <c r="J35" s="19"/>
    </row>
    <row r="36" spans="1:10" ht="22.5" customHeight="1">
      <c r="A36" s="25" t="str">
        <f t="shared" si="0"/>
        <v>Kob_M4</v>
      </c>
      <c r="B36" s="16" t="s">
        <v>181</v>
      </c>
      <c r="C36" s="22">
        <v>4</v>
      </c>
      <c r="D36" s="23" t="str">
        <f>VLOOKUP(C36,'Matches (สำหรับแอดมิน)'!$A$2:$D$105,3,FALSE)</f>
        <v>United States</v>
      </c>
      <c r="E36" s="15">
        <v>2</v>
      </c>
      <c r="F36" s="15" t="str">
        <f>VLOOKUP(C36,'Matches (สำหรับแอดมิน)'!$A$2:$D$105,4,FALSE)</f>
        <v>Paraguay</v>
      </c>
      <c r="G36" s="15">
        <v>2</v>
      </c>
      <c r="H36" s="18">
        <f>IF(VLOOKUP(C36,'Matches (สำหรับแอดมิน)'!$A$2:$G$100,7,FALSE)&lt;&gt;"จบแล้ว",0,
IF(
    AND(
        E36=VLOOKUP(C36,'Matches (สำหรับแอดมิน)'!$A$2:$G$100,5,FALSE),
        G36=VLOOKUP(C36,'Matches (สำหรับแอดมิน)'!$A$2:$G$100,6,FALSE)
    ),
    IF(
        AND(
            VLOOKUP(C36,'Matches (สำหรับแอดมิน)'!$A$2:$G$100,5,FALSE)=0,
            VLOOKUP(C36,'Matches (สำหรับแอดมิน)'!$A$2:$G$100,6,FALSE)=0
        ),
        4,
        3+
        VLOOKUP(C36,'Matches (สำหรับแอดมิน)'!$A$2:$G$100,5,FALSE)+
        VLOOKUP(C36,'Matches (สำหรับแอดมิน)'!$A$2:$G$100,6,FALSE)
    ),
    IF(
        OR(
            AND(
                VLOOKUP(C36,'Matches (สำหรับแอดมิน)'!$A$2:$G$100,5,FALSE)&gt;
                VLOOKUP(C36,'Matches (สำหรับแอดมิน)'!$A$2:$G$100,6,FALSE),
                E36&gt;G36
            ),
            AND(
                VLOOKUP(C36,'Matches (สำหรับแอดมิน)'!$A$2:$G$100,6,FALSE)&gt;
                VLOOKUP(C36,'Matches (สำหรับแอดมิน)'!$A$2:$G$100,5,FALSE),
                G36&gt;E36
            ),
            AND(
                VLOOKUP(C36,'Matches (สำหรับแอดมิน)'!$A$2:$G$100,5,FALSE)=
                VLOOKUP(C36,'Matches (สำหรับแอดมิน)'!$A$2:$G$100,6,FALSE),
                E36=G36
            )
        ),
        3,
        0
    )
))</f>
        <v>0</v>
      </c>
      <c r="I36" s="19"/>
      <c r="J36" s="19"/>
    </row>
    <row r="37" spans="1:10" ht="22.5" customHeight="1">
      <c r="A37" s="25" t="str">
        <f t="shared" si="0"/>
        <v>Aof_M4</v>
      </c>
      <c r="B37" s="16" t="s">
        <v>182</v>
      </c>
      <c r="C37" s="22">
        <v>4</v>
      </c>
      <c r="D37" s="23" t="str">
        <f>VLOOKUP(C37,'Matches (สำหรับแอดมิน)'!$A$2:$D$105,3,FALSE)</f>
        <v>United States</v>
      </c>
      <c r="E37" s="15">
        <v>1</v>
      </c>
      <c r="F37" s="15" t="str">
        <f>VLOOKUP(C37,'Matches (สำหรับแอดมิน)'!$A$2:$D$105,4,FALSE)</f>
        <v>Paraguay</v>
      </c>
      <c r="G37" s="15">
        <v>4</v>
      </c>
      <c r="H37" s="18">
        <f>IF(VLOOKUP(C37,'Matches (สำหรับแอดมิน)'!$A$2:$G$100,7,FALSE)&lt;&gt;"จบแล้ว",0,
IF(
    AND(
        E37=VLOOKUP(C37,'Matches (สำหรับแอดมิน)'!$A$2:$G$100,5,FALSE),
        G37=VLOOKUP(C37,'Matches (สำหรับแอดมิน)'!$A$2:$G$100,6,FALSE)
    ),
    IF(
        AND(
            VLOOKUP(C37,'Matches (สำหรับแอดมิน)'!$A$2:$G$100,5,FALSE)=0,
            VLOOKUP(C37,'Matches (สำหรับแอดมิน)'!$A$2:$G$100,6,FALSE)=0
        ),
        4,
        3+
        VLOOKUP(C37,'Matches (สำหรับแอดมิน)'!$A$2:$G$100,5,FALSE)+
        VLOOKUP(C37,'Matches (สำหรับแอดมิน)'!$A$2:$G$100,6,FALSE)
    ),
    IF(
        OR(
            AND(
                VLOOKUP(C37,'Matches (สำหรับแอดมิน)'!$A$2:$G$100,5,FALSE)&gt;
                VLOOKUP(C37,'Matches (สำหรับแอดมิน)'!$A$2:$G$100,6,FALSE),
                E37&gt;G37
            ),
            AND(
                VLOOKUP(C37,'Matches (สำหรับแอดมิน)'!$A$2:$G$100,6,FALSE)&gt;
                VLOOKUP(C37,'Matches (สำหรับแอดมิน)'!$A$2:$G$100,5,FALSE),
                G37&gt;E37
            ),
            AND(
                VLOOKUP(C37,'Matches (สำหรับแอดมิน)'!$A$2:$G$100,5,FALSE)=
                VLOOKUP(C37,'Matches (สำหรับแอดมิน)'!$A$2:$G$100,6,FALSE),
                E37=G37
            )
        ),
        3,
        0
    )
))</f>
        <v>0</v>
      </c>
      <c r="I37" s="19"/>
      <c r="J37" s="19"/>
    </row>
    <row r="38" spans="1:10" ht="22.5" customHeight="1">
      <c r="A38" s="25" t="str">
        <f t="shared" si="0"/>
        <v>Ice_M4</v>
      </c>
      <c r="B38" s="16" t="s">
        <v>183</v>
      </c>
      <c r="C38" s="22">
        <v>4</v>
      </c>
      <c r="D38" s="23" t="str">
        <f>VLOOKUP(C38,'Matches (สำหรับแอดมิน)'!$A$2:$D$105,3,FALSE)</f>
        <v>United States</v>
      </c>
      <c r="E38" s="15"/>
      <c r="F38" s="15" t="str">
        <f>VLOOKUP(C38,'Matches (สำหรับแอดมิน)'!$A$2:$D$105,4,FALSE)</f>
        <v>Paraguay</v>
      </c>
      <c r="G38" s="15"/>
      <c r="H38" s="18">
        <f>IF(VLOOKUP(C38,'Matches (สำหรับแอดมิน)'!$A$2:$G$100,7,FALSE)&lt;&gt;"จบแล้ว",0,
IF(
    AND(
        E38=VLOOKUP(C38,'Matches (สำหรับแอดมิน)'!$A$2:$G$100,5,FALSE),
        G38=VLOOKUP(C38,'Matches (สำหรับแอดมิน)'!$A$2:$G$100,6,FALSE)
    ),
    IF(
        AND(
            VLOOKUP(C38,'Matches (สำหรับแอดมิน)'!$A$2:$G$100,5,FALSE)=0,
            VLOOKUP(C38,'Matches (สำหรับแอดมิน)'!$A$2:$G$100,6,FALSE)=0
        ),
        4,
        3+
        VLOOKUP(C38,'Matches (สำหรับแอดมิน)'!$A$2:$G$100,5,FALSE)+
        VLOOKUP(C38,'Matches (สำหรับแอดมิน)'!$A$2:$G$100,6,FALSE)
    ),
    IF(
        OR(
            AND(
                VLOOKUP(C38,'Matches (สำหรับแอดมิน)'!$A$2:$G$100,5,FALSE)&gt;
                VLOOKUP(C38,'Matches (สำหรับแอดมิน)'!$A$2:$G$100,6,FALSE),
                E38&gt;G38
            ),
            AND(
                VLOOKUP(C38,'Matches (สำหรับแอดมิน)'!$A$2:$G$100,6,FALSE)&gt;
                VLOOKUP(C38,'Matches (สำหรับแอดมิน)'!$A$2:$G$100,5,FALSE),
                G38&gt;E38
            ),
            AND(
                VLOOKUP(C38,'Matches (สำหรับแอดมิน)'!$A$2:$G$100,5,FALSE)=
                VLOOKUP(C38,'Matches (สำหรับแอดมิน)'!$A$2:$G$100,6,FALSE),
                E38=G38
            )
        ),
        3,
        0
    )
))</f>
        <v>0</v>
      </c>
      <c r="I38" s="19"/>
      <c r="J38" s="19"/>
    </row>
    <row r="39" spans="1:10" ht="22.5" customHeight="1">
      <c r="A39" s="25" t="str">
        <f t="shared" si="0"/>
        <v>Golf_M4</v>
      </c>
      <c r="B39" s="16" t="s">
        <v>185</v>
      </c>
      <c r="C39" s="22">
        <v>4</v>
      </c>
      <c r="D39" s="23" t="str">
        <f>VLOOKUP(C39,'Matches (สำหรับแอดมิน)'!$A$2:$D$105,3,FALSE)</f>
        <v>United States</v>
      </c>
      <c r="E39" s="15"/>
      <c r="F39" s="15" t="str">
        <f>VLOOKUP(C39,'Matches (สำหรับแอดมิน)'!$A$2:$D$105,4,FALSE)</f>
        <v>Paraguay</v>
      </c>
      <c r="G39" s="15"/>
      <c r="H39" s="18">
        <f>IF(VLOOKUP(C39,'Matches (สำหรับแอดมิน)'!$A$2:$G$100,7,FALSE)&lt;&gt;"จบแล้ว",0,
IF(
    AND(
        E39=VLOOKUP(C39,'Matches (สำหรับแอดมิน)'!$A$2:$G$100,5,FALSE),
        G39=VLOOKUP(C39,'Matches (สำหรับแอดมิน)'!$A$2:$G$100,6,FALSE)
    ),
    IF(
        AND(
            VLOOKUP(C39,'Matches (สำหรับแอดมิน)'!$A$2:$G$100,5,FALSE)=0,
            VLOOKUP(C39,'Matches (สำหรับแอดมิน)'!$A$2:$G$100,6,FALSE)=0
        ),
        4,
        3+
        VLOOKUP(C39,'Matches (สำหรับแอดมิน)'!$A$2:$G$100,5,FALSE)+
        VLOOKUP(C39,'Matches (สำหรับแอดมิน)'!$A$2:$G$100,6,FALSE)
    ),
    IF(
        OR(
            AND(
                VLOOKUP(C39,'Matches (สำหรับแอดมิน)'!$A$2:$G$100,5,FALSE)&gt;
                VLOOKUP(C39,'Matches (สำหรับแอดมิน)'!$A$2:$G$100,6,FALSE),
                E39&gt;G39
            ),
            AND(
                VLOOKUP(C39,'Matches (สำหรับแอดมิน)'!$A$2:$G$100,6,FALSE)&gt;
                VLOOKUP(C39,'Matches (สำหรับแอดมิน)'!$A$2:$G$100,5,FALSE),
                G39&gt;E39
            ),
            AND(
                VLOOKUP(C39,'Matches (สำหรับแอดมิน)'!$A$2:$G$100,5,FALSE)=
                VLOOKUP(C39,'Matches (สำหรับแอดมิน)'!$A$2:$G$100,6,FALSE),
                E39=G39
            )
        ),
        3,
        0
    )
))</f>
        <v>0</v>
      </c>
      <c r="I39" s="19"/>
      <c r="J39" s="19"/>
    </row>
    <row r="40" spans="1:10" ht="22.5" customHeight="1">
      <c r="A40" s="25" t="str">
        <f t="shared" si="0"/>
        <v>Mun_M4</v>
      </c>
      <c r="B40" s="16" t="s">
        <v>186</v>
      </c>
      <c r="C40" s="22">
        <v>4</v>
      </c>
      <c r="D40" s="23" t="str">
        <f>VLOOKUP(C40,'Matches (สำหรับแอดมิน)'!$A$2:$D$105,3,FALSE)</f>
        <v>United States</v>
      </c>
      <c r="E40" s="15"/>
      <c r="F40" s="15" t="str">
        <f>VLOOKUP(C40,'Matches (สำหรับแอดมิน)'!$A$2:$D$105,4,FALSE)</f>
        <v>Paraguay</v>
      </c>
      <c r="G40" s="15"/>
      <c r="H40" s="18">
        <f>IF(VLOOKUP(C40,'Matches (สำหรับแอดมิน)'!$A$2:$G$100,7,FALSE)&lt;&gt;"จบแล้ว",0,
IF(
    AND(
        E40=VLOOKUP(C40,'Matches (สำหรับแอดมิน)'!$A$2:$G$100,5,FALSE),
        G40=VLOOKUP(C40,'Matches (สำหรับแอดมิน)'!$A$2:$G$100,6,FALSE)
    ),
    IF(
        AND(
            VLOOKUP(C40,'Matches (สำหรับแอดมิน)'!$A$2:$G$100,5,FALSE)=0,
            VLOOKUP(C40,'Matches (สำหรับแอดมิน)'!$A$2:$G$100,6,FALSE)=0
        ),
        4,
        3+
        VLOOKUP(C40,'Matches (สำหรับแอดมิน)'!$A$2:$G$100,5,FALSE)+
        VLOOKUP(C40,'Matches (สำหรับแอดมิน)'!$A$2:$G$100,6,FALSE)
    ),
    IF(
        OR(
            AND(
                VLOOKUP(C40,'Matches (สำหรับแอดมิน)'!$A$2:$G$100,5,FALSE)&gt;
                VLOOKUP(C40,'Matches (สำหรับแอดมิน)'!$A$2:$G$100,6,FALSE),
                E40&gt;G40
            ),
            AND(
                VLOOKUP(C40,'Matches (สำหรับแอดมิน)'!$A$2:$G$100,6,FALSE)&gt;
                VLOOKUP(C40,'Matches (สำหรับแอดมิน)'!$A$2:$G$100,5,FALSE),
                G40&gt;E40
            ),
            AND(
                VLOOKUP(C40,'Matches (สำหรับแอดมิน)'!$A$2:$G$100,5,FALSE)=
                VLOOKUP(C40,'Matches (สำหรับแอดมิน)'!$A$2:$G$100,6,FALSE),
                E40=G40
            )
        ),
        3,
        0
    )
))</f>
        <v>0</v>
      </c>
      <c r="I40" s="19"/>
      <c r="J40" s="19"/>
    </row>
    <row r="41" spans="1:10" ht="22.5" customHeight="1">
      <c r="A41" s="25" t="str">
        <f t="shared" si="0"/>
        <v>Mig_M4</v>
      </c>
      <c r="B41" s="16" t="s">
        <v>187</v>
      </c>
      <c r="C41" s="22">
        <v>4</v>
      </c>
      <c r="D41" s="23" t="str">
        <f>VLOOKUP(C41,'Matches (สำหรับแอดมิน)'!$A$2:$D$105,3,FALSE)</f>
        <v>United States</v>
      </c>
      <c r="E41" s="15"/>
      <c r="F41" s="15" t="str">
        <f>VLOOKUP(C41,'Matches (สำหรับแอดมิน)'!$A$2:$D$105,4,FALSE)</f>
        <v>Paraguay</v>
      </c>
      <c r="G41" s="15"/>
      <c r="H41" s="18">
        <f>IF(VLOOKUP(C41,'Matches (สำหรับแอดมิน)'!$A$2:$G$100,7,FALSE)&lt;&gt;"จบแล้ว",0,
IF(
    AND(
        E41=VLOOKUP(C41,'Matches (สำหรับแอดมิน)'!$A$2:$G$100,5,FALSE),
        G41=VLOOKUP(C41,'Matches (สำหรับแอดมิน)'!$A$2:$G$100,6,FALSE)
    ),
    IF(
        AND(
            VLOOKUP(C41,'Matches (สำหรับแอดมิน)'!$A$2:$G$100,5,FALSE)=0,
            VLOOKUP(C41,'Matches (สำหรับแอดมิน)'!$A$2:$G$100,6,FALSE)=0
        ),
        4,
        3+
        VLOOKUP(C41,'Matches (สำหรับแอดมิน)'!$A$2:$G$100,5,FALSE)+
        VLOOKUP(C41,'Matches (สำหรับแอดมิน)'!$A$2:$G$100,6,FALSE)
    ),
    IF(
        OR(
            AND(
                VLOOKUP(C41,'Matches (สำหรับแอดมิน)'!$A$2:$G$100,5,FALSE)&gt;
                VLOOKUP(C41,'Matches (สำหรับแอดมิน)'!$A$2:$G$100,6,FALSE),
                E41&gt;G41
            ),
            AND(
                VLOOKUP(C41,'Matches (สำหรับแอดมิน)'!$A$2:$G$100,6,FALSE)&gt;
                VLOOKUP(C41,'Matches (สำหรับแอดมิน)'!$A$2:$G$100,5,FALSE),
                G41&gt;E41
            ),
            AND(
                VLOOKUP(C41,'Matches (สำหรับแอดมิน)'!$A$2:$G$100,5,FALSE)=
                VLOOKUP(C41,'Matches (สำหรับแอดมิน)'!$A$2:$G$100,6,FALSE),
                E41=G41
            )
        ),
        3,
        0
    )
))</f>
        <v>0</v>
      </c>
      <c r="I41" s="19"/>
      <c r="J41" s="19"/>
    </row>
    <row r="42" spans="1:10" ht="22.5" customHeight="1">
      <c r="A42" s="15" t="str">
        <f t="shared" si="0"/>
        <v>Ball_M5</v>
      </c>
      <c r="B42" s="24" t="s">
        <v>177</v>
      </c>
      <c r="C42" s="17">
        <v>5</v>
      </c>
      <c r="D42" s="15" t="str">
        <f>VLOOKUP(C42,'Matches (สำหรับแอดมิน)'!$A$2:$D$105,3,FALSE)</f>
        <v>Qatar</v>
      </c>
      <c r="E42" s="15"/>
      <c r="F42" s="15" t="str">
        <f>VLOOKUP(C42,'Matches (สำหรับแอดมิน)'!$A$2:$D$105,4,FALSE)</f>
        <v>Switzerland</v>
      </c>
      <c r="G42" s="15"/>
      <c r="H42" s="18">
        <f>IF(VLOOKUP(C42,'Matches (สำหรับแอดมิน)'!$A$2:$G$100,7,FALSE)&lt;&gt;"จบแล้ว",0,
IF(
    AND(
        E42=VLOOKUP(C42,'Matches (สำหรับแอดมิน)'!$A$2:$G$100,5,FALSE),
        G42=VLOOKUP(C42,'Matches (สำหรับแอดมิน)'!$A$2:$G$100,6,FALSE)
    ),
    IF(
        AND(
            VLOOKUP(C42,'Matches (สำหรับแอดมิน)'!$A$2:$G$100,5,FALSE)=0,
            VLOOKUP(C42,'Matches (สำหรับแอดมิน)'!$A$2:$G$100,6,FALSE)=0
        ),
        4,
        3+
        VLOOKUP(C42,'Matches (สำหรับแอดมิน)'!$A$2:$G$100,5,FALSE)+
        VLOOKUP(C42,'Matches (สำหรับแอดมิน)'!$A$2:$G$100,6,FALSE)
    ),
    IF(
        OR(
            AND(
                VLOOKUP(C42,'Matches (สำหรับแอดมิน)'!$A$2:$G$100,5,FALSE)&gt;
                VLOOKUP(C42,'Matches (สำหรับแอดมิน)'!$A$2:$G$100,6,FALSE),
                E42&gt;G42
            ),
            AND(
                VLOOKUP(C42,'Matches (สำหรับแอดมิน)'!$A$2:$G$100,6,FALSE)&gt;
                VLOOKUP(C42,'Matches (สำหรับแอดมิน)'!$A$2:$G$100,5,FALSE),
                G42&gt;E42
            ),
            AND(
                VLOOKUP(C42,'Matches (สำหรับแอดมิน)'!$A$2:$G$100,5,FALSE)=
                VLOOKUP(C42,'Matches (สำหรับแอดมิน)'!$A$2:$G$100,6,FALSE),
                E42=G42
            )
        ),
        3,
        0
    )
))</f>
        <v>0</v>
      </c>
      <c r="I42" s="19"/>
      <c r="J42" s="19"/>
    </row>
    <row r="43" spans="1:10" ht="22.5" customHeight="1">
      <c r="A43" s="15" t="str">
        <f t="shared" si="0"/>
        <v>Been_M5</v>
      </c>
      <c r="B43" s="24" t="s">
        <v>178</v>
      </c>
      <c r="C43" s="17">
        <v>5</v>
      </c>
      <c r="D43" s="15" t="str">
        <f>VLOOKUP(C43,'Matches (สำหรับแอดมิน)'!$A$2:$D$105,3,FALSE)</f>
        <v>Qatar</v>
      </c>
      <c r="E43" s="15"/>
      <c r="F43" s="15" t="str">
        <f>VLOOKUP(C43,'Matches (สำหรับแอดมิน)'!$A$2:$D$105,4,FALSE)</f>
        <v>Switzerland</v>
      </c>
      <c r="G43" s="15"/>
      <c r="H43" s="18">
        <f>IF(VLOOKUP(C43,'Matches (สำหรับแอดมิน)'!$A$2:$G$100,7,FALSE)&lt;&gt;"จบแล้ว",0,
IF(
    AND(
        E43=VLOOKUP(C43,'Matches (สำหรับแอดมิน)'!$A$2:$G$100,5,FALSE),
        G43=VLOOKUP(C43,'Matches (สำหรับแอดมิน)'!$A$2:$G$100,6,FALSE)
    ),
    IF(
        AND(
            VLOOKUP(C43,'Matches (สำหรับแอดมิน)'!$A$2:$G$100,5,FALSE)=0,
            VLOOKUP(C43,'Matches (สำหรับแอดมิน)'!$A$2:$G$100,6,FALSE)=0
        ),
        4,
        3+
        VLOOKUP(C43,'Matches (สำหรับแอดมิน)'!$A$2:$G$100,5,FALSE)+
        VLOOKUP(C43,'Matches (สำหรับแอดมิน)'!$A$2:$G$100,6,FALSE)
    ),
    IF(
        OR(
            AND(
                VLOOKUP(C43,'Matches (สำหรับแอดมิน)'!$A$2:$G$100,5,FALSE)&gt;
                VLOOKUP(C43,'Matches (สำหรับแอดมิน)'!$A$2:$G$100,6,FALSE),
                E43&gt;G43
            ),
            AND(
                VLOOKUP(C43,'Matches (สำหรับแอดมิน)'!$A$2:$G$100,6,FALSE)&gt;
                VLOOKUP(C43,'Matches (สำหรับแอดมิน)'!$A$2:$G$100,5,FALSE),
                G43&gt;E43
            ),
            AND(
                VLOOKUP(C43,'Matches (สำหรับแอดมิน)'!$A$2:$G$100,5,FALSE)=
                VLOOKUP(C43,'Matches (สำหรับแอดมิน)'!$A$2:$G$100,6,FALSE),
                E43=G43
            )
        ),
        3,
        0
    )
))</f>
        <v>0</v>
      </c>
      <c r="I43" s="19"/>
      <c r="J43" s="19"/>
    </row>
    <row r="44" spans="1:10" ht="22.5" customHeight="1">
      <c r="A44" s="15" t="str">
        <f t="shared" si="0"/>
        <v>Faro_M5</v>
      </c>
      <c r="B44" s="24" t="s">
        <v>179</v>
      </c>
      <c r="C44" s="22">
        <v>5</v>
      </c>
      <c r="D44" s="23" t="str">
        <f>VLOOKUP(C44,'Matches (สำหรับแอดมิน)'!$A$2:$D$105,3,FALSE)</f>
        <v>Qatar</v>
      </c>
      <c r="E44" s="15">
        <v>0</v>
      </c>
      <c r="F44" s="15" t="str">
        <f>VLOOKUP(C44,'Matches (สำหรับแอดมิน)'!$A$2:$D$105,4,FALSE)</f>
        <v>Switzerland</v>
      </c>
      <c r="G44" s="15">
        <v>2</v>
      </c>
      <c r="H44" s="18">
        <f>IF(VLOOKUP(C44,'Matches (สำหรับแอดมิน)'!$A$2:$G$100,7,FALSE)&lt;&gt;"จบแล้ว",0,
IF(
    AND(
        E44=VLOOKUP(C44,'Matches (สำหรับแอดมิน)'!$A$2:$G$100,5,FALSE),
        G44=VLOOKUP(C44,'Matches (สำหรับแอดมิน)'!$A$2:$G$100,6,FALSE)
    ),
    IF(
        AND(
            VLOOKUP(C44,'Matches (สำหรับแอดมิน)'!$A$2:$G$100,5,FALSE)=0,
            VLOOKUP(C44,'Matches (สำหรับแอดมิน)'!$A$2:$G$100,6,FALSE)=0
        ),
        4,
        3+
        VLOOKUP(C44,'Matches (สำหรับแอดมิน)'!$A$2:$G$100,5,FALSE)+
        VLOOKUP(C44,'Matches (สำหรับแอดมิน)'!$A$2:$G$100,6,FALSE)
    ),
    IF(
        OR(
            AND(
                VLOOKUP(C44,'Matches (สำหรับแอดมิน)'!$A$2:$G$100,5,FALSE)&gt;
                VLOOKUP(C44,'Matches (สำหรับแอดมิน)'!$A$2:$G$100,6,FALSE),
                E44&gt;G44
            ),
            AND(
                VLOOKUP(C44,'Matches (สำหรับแอดมิน)'!$A$2:$G$100,6,FALSE)&gt;
                VLOOKUP(C44,'Matches (สำหรับแอดมิน)'!$A$2:$G$100,5,FALSE),
                G44&gt;E44
            ),
            AND(
                VLOOKUP(C44,'Matches (สำหรับแอดมิน)'!$A$2:$G$100,5,FALSE)=
                VLOOKUP(C44,'Matches (สำหรับแอดมิน)'!$A$2:$G$100,6,FALSE),
                E44=G44
            )
        ),
        3,
        0
    )
))</f>
        <v>0</v>
      </c>
      <c r="I44" s="19"/>
      <c r="J44" s="19"/>
    </row>
    <row r="45" spans="1:10" ht="22.5" customHeight="1">
      <c r="A45" s="15" t="str">
        <f t="shared" si="0"/>
        <v>Oat_M5</v>
      </c>
      <c r="B45" s="24" t="s">
        <v>180</v>
      </c>
      <c r="C45" s="22">
        <v>5</v>
      </c>
      <c r="D45" s="23" t="str">
        <f>VLOOKUP(C45,'Matches (สำหรับแอดมิน)'!$A$2:$D$105,3,FALSE)</f>
        <v>Qatar</v>
      </c>
      <c r="E45" s="15">
        <v>0</v>
      </c>
      <c r="F45" s="15" t="str">
        <f>VLOOKUP(C45,'Matches (สำหรับแอดมิน)'!$A$2:$D$105,4,FALSE)</f>
        <v>Switzerland</v>
      </c>
      <c r="G45" s="15">
        <v>2</v>
      </c>
      <c r="H45" s="18">
        <f>IF(VLOOKUP(C45,'Matches (สำหรับแอดมิน)'!$A$2:$G$100,7,FALSE)&lt;&gt;"จบแล้ว",0,
IF(
    AND(
        E45=VLOOKUP(C45,'Matches (สำหรับแอดมิน)'!$A$2:$G$100,5,FALSE),
        G45=VLOOKUP(C45,'Matches (สำหรับแอดมิน)'!$A$2:$G$100,6,FALSE)
    ),
    IF(
        AND(
            VLOOKUP(C45,'Matches (สำหรับแอดมิน)'!$A$2:$G$100,5,FALSE)=0,
            VLOOKUP(C45,'Matches (สำหรับแอดมิน)'!$A$2:$G$100,6,FALSE)=0
        ),
        4,
        3+
        VLOOKUP(C45,'Matches (สำหรับแอดมิน)'!$A$2:$G$100,5,FALSE)+
        VLOOKUP(C45,'Matches (สำหรับแอดมิน)'!$A$2:$G$100,6,FALSE)
    ),
    IF(
        OR(
            AND(
                VLOOKUP(C45,'Matches (สำหรับแอดมิน)'!$A$2:$G$100,5,FALSE)&gt;
                VLOOKUP(C45,'Matches (สำหรับแอดมิน)'!$A$2:$G$100,6,FALSE),
                E45&gt;G45
            ),
            AND(
                VLOOKUP(C45,'Matches (สำหรับแอดมิน)'!$A$2:$G$100,6,FALSE)&gt;
                VLOOKUP(C45,'Matches (สำหรับแอดมิน)'!$A$2:$G$100,5,FALSE),
                G45&gt;E45
            ),
            AND(
                VLOOKUP(C45,'Matches (สำหรับแอดมิน)'!$A$2:$G$100,5,FALSE)=
                VLOOKUP(C45,'Matches (สำหรับแอดมิน)'!$A$2:$G$100,6,FALSE),
                E45=G45
            )
        ),
        3,
        0
    )
))</f>
        <v>0</v>
      </c>
      <c r="I45" s="19"/>
      <c r="J45" s="19"/>
    </row>
    <row r="46" spans="1:10" ht="22.5" customHeight="1">
      <c r="A46" s="15" t="str">
        <f t="shared" si="0"/>
        <v>Kob_M5</v>
      </c>
      <c r="B46" s="24" t="s">
        <v>181</v>
      </c>
      <c r="C46" s="17">
        <v>5</v>
      </c>
      <c r="D46" s="15" t="str">
        <f>VLOOKUP(C46,'Matches (สำหรับแอดมิน)'!$A$2:$D$105,3,FALSE)</f>
        <v>Qatar</v>
      </c>
      <c r="E46" s="15">
        <v>1</v>
      </c>
      <c r="F46" s="15" t="str">
        <f>VLOOKUP(C46,'Matches (สำหรับแอดมิน)'!$A$2:$D$105,4,FALSE)</f>
        <v>Switzerland</v>
      </c>
      <c r="G46" s="15">
        <v>3</v>
      </c>
      <c r="H46" s="18">
        <f>IF(VLOOKUP(C46,'Matches (สำหรับแอดมิน)'!$A$2:$G$100,7,FALSE)&lt;&gt;"จบแล้ว",0,
IF(
    AND(
        E46=VLOOKUP(C46,'Matches (สำหรับแอดมิน)'!$A$2:$G$100,5,FALSE),
        G46=VLOOKUP(C46,'Matches (สำหรับแอดมิน)'!$A$2:$G$100,6,FALSE)
    ),
    IF(
        AND(
            VLOOKUP(C46,'Matches (สำหรับแอดมิน)'!$A$2:$G$100,5,FALSE)=0,
            VLOOKUP(C46,'Matches (สำหรับแอดมิน)'!$A$2:$G$100,6,FALSE)=0
        ),
        4,
        3+
        VLOOKUP(C46,'Matches (สำหรับแอดมิน)'!$A$2:$G$100,5,FALSE)+
        VLOOKUP(C46,'Matches (สำหรับแอดมิน)'!$A$2:$G$100,6,FALSE)
    ),
    IF(
        OR(
            AND(
                VLOOKUP(C46,'Matches (สำหรับแอดมิน)'!$A$2:$G$100,5,FALSE)&gt;
                VLOOKUP(C46,'Matches (สำหรับแอดมิน)'!$A$2:$G$100,6,FALSE),
                E46&gt;G46
            ),
            AND(
                VLOOKUP(C46,'Matches (สำหรับแอดมิน)'!$A$2:$G$100,6,FALSE)&gt;
                VLOOKUP(C46,'Matches (สำหรับแอดมิน)'!$A$2:$G$100,5,FALSE),
                G46&gt;E46
            ),
            AND(
                VLOOKUP(C46,'Matches (สำหรับแอดมิน)'!$A$2:$G$100,5,FALSE)=
                VLOOKUP(C46,'Matches (สำหรับแอดมิน)'!$A$2:$G$100,6,FALSE),
                E46=G46
            )
        ),
        3,
        0
    )
))</f>
        <v>0</v>
      </c>
      <c r="I46" s="19"/>
      <c r="J46" s="19"/>
    </row>
    <row r="47" spans="1:10" ht="22.5" customHeight="1">
      <c r="A47" s="15" t="str">
        <f t="shared" si="0"/>
        <v>Aof_M5</v>
      </c>
      <c r="B47" s="24" t="s">
        <v>182</v>
      </c>
      <c r="C47" s="17">
        <v>5</v>
      </c>
      <c r="D47" s="15" t="str">
        <f>VLOOKUP(C47,'Matches (สำหรับแอดมิน)'!$A$2:$D$105,3,FALSE)</f>
        <v>Qatar</v>
      </c>
      <c r="E47" s="15">
        <v>0</v>
      </c>
      <c r="F47" s="15" t="str">
        <f>VLOOKUP(C47,'Matches (สำหรับแอดมิน)'!$A$2:$D$105,4,FALSE)</f>
        <v>Switzerland</v>
      </c>
      <c r="G47" s="15">
        <v>3</v>
      </c>
      <c r="H47" s="18">
        <f>IF(VLOOKUP(C47,'Matches (สำหรับแอดมิน)'!$A$2:$G$100,7,FALSE)&lt;&gt;"จบแล้ว",0,
IF(
    AND(
        E47=VLOOKUP(C47,'Matches (สำหรับแอดมิน)'!$A$2:$G$100,5,FALSE),
        G47=VLOOKUP(C47,'Matches (สำหรับแอดมิน)'!$A$2:$G$100,6,FALSE)
    ),
    IF(
        AND(
            VLOOKUP(C47,'Matches (สำหรับแอดมิน)'!$A$2:$G$100,5,FALSE)=0,
            VLOOKUP(C47,'Matches (สำหรับแอดมิน)'!$A$2:$G$100,6,FALSE)=0
        ),
        4,
        3+
        VLOOKUP(C47,'Matches (สำหรับแอดมิน)'!$A$2:$G$100,5,FALSE)+
        VLOOKUP(C47,'Matches (สำหรับแอดมิน)'!$A$2:$G$100,6,FALSE)
    ),
    IF(
        OR(
            AND(
                VLOOKUP(C47,'Matches (สำหรับแอดมิน)'!$A$2:$G$100,5,FALSE)&gt;
                VLOOKUP(C47,'Matches (สำหรับแอดมิน)'!$A$2:$G$100,6,FALSE),
                E47&gt;G47
            ),
            AND(
                VLOOKUP(C47,'Matches (สำหรับแอดมิน)'!$A$2:$G$100,6,FALSE)&gt;
                VLOOKUP(C47,'Matches (สำหรับแอดมิน)'!$A$2:$G$100,5,FALSE),
                G47&gt;E47
            ),
            AND(
                VLOOKUP(C47,'Matches (สำหรับแอดมิน)'!$A$2:$G$100,5,FALSE)=
                VLOOKUP(C47,'Matches (สำหรับแอดมิน)'!$A$2:$G$100,6,FALSE),
                E47=G47
            )
        ),
        3,
        0
    )
))</f>
        <v>0</v>
      </c>
      <c r="I47" s="19"/>
      <c r="J47" s="19"/>
    </row>
    <row r="48" spans="1:10" ht="22.5" customHeight="1">
      <c r="A48" s="15" t="str">
        <f t="shared" si="0"/>
        <v>Ice_M5</v>
      </c>
      <c r="B48" s="24" t="s">
        <v>183</v>
      </c>
      <c r="C48" s="17">
        <v>5</v>
      </c>
      <c r="D48" s="15" t="str">
        <f>VLOOKUP(C48,'Matches (สำหรับแอดมิน)'!$A$2:$D$105,3,FALSE)</f>
        <v>Qatar</v>
      </c>
      <c r="E48" s="15"/>
      <c r="F48" s="15" t="str">
        <f>VLOOKUP(C48,'Matches (สำหรับแอดมิน)'!$A$2:$D$105,4,FALSE)</f>
        <v>Switzerland</v>
      </c>
      <c r="G48" s="15"/>
      <c r="H48" s="18">
        <f>IF(VLOOKUP(C48,'Matches (สำหรับแอดมิน)'!$A$2:$G$100,7,FALSE)&lt;&gt;"จบแล้ว",0,
IF(
    AND(
        E48=VLOOKUP(C48,'Matches (สำหรับแอดมิน)'!$A$2:$G$100,5,FALSE),
        G48=VLOOKUP(C48,'Matches (สำหรับแอดมิน)'!$A$2:$G$100,6,FALSE)
    ),
    IF(
        AND(
            VLOOKUP(C48,'Matches (สำหรับแอดมิน)'!$A$2:$G$100,5,FALSE)=0,
            VLOOKUP(C48,'Matches (สำหรับแอดมิน)'!$A$2:$G$100,6,FALSE)=0
        ),
        4,
        3+
        VLOOKUP(C48,'Matches (สำหรับแอดมิน)'!$A$2:$G$100,5,FALSE)+
        VLOOKUP(C48,'Matches (สำหรับแอดมิน)'!$A$2:$G$100,6,FALSE)
    ),
    IF(
        OR(
            AND(
                VLOOKUP(C48,'Matches (สำหรับแอดมิน)'!$A$2:$G$100,5,FALSE)&gt;
                VLOOKUP(C48,'Matches (สำหรับแอดมิน)'!$A$2:$G$100,6,FALSE),
                E48&gt;G48
            ),
            AND(
                VLOOKUP(C48,'Matches (สำหรับแอดมิน)'!$A$2:$G$100,6,FALSE)&gt;
                VLOOKUP(C48,'Matches (สำหรับแอดมิน)'!$A$2:$G$100,5,FALSE),
                G48&gt;E48
            ),
            AND(
                VLOOKUP(C48,'Matches (สำหรับแอดมิน)'!$A$2:$G$100,5,FALSE)=
                VLOOKUP(C48,'Matches (สำหรับแอดมิน)'!$A$2:$G$100,6,FALSE),
                E48=G48
            )
        ),
        3,
        0
    )
))</f>
        <v>0</v>
      </c>
      <c r="I48" s="19"/>
      <c r="J48" s="19"/>
    </row>
    <row r="49" spans="1:10" ht="22.5" customHeight="1">
      <c r="A49" s="15" t="str">
        <f t="shared" si="0"/>
        <v>Golf_M5</v>
      </c>
      <c r="B49" s="24" t="s">
        <v>185</v>
      </c>
      <c r="C49" s="17">
        <v>5</v>
      </c>
      <c r="D49" s="15" t="str">
        <f>VLOOKUP(C49,'Matches (สำหรับแอดมิน)'!$A$2:$D$105,3,FALSE)</f>
        <v>Qatar</v>
      </c>
      <c r="E49" s="15"/>
      <c r="F49" s="15" t="str">
        <f>VLOOKUP(C49,'Matches (สำหรับแอดมิน)'!$A$2:$D$105,4,FALSE)</f>
        <v>Switzerland</v>
      </c>
      <c r="G49" s="15"/>
      <c r="H49" s="18">
        <f>IF(VLOOKUP(C49,'Matches (สำหรับแอดมิน)'!$A$2:$G$100,7,FALSE)&lt;&gt;"จบแล้ว",0,
IF(
    AND(
        E49=VLOOKUP(C49,'Matches (สำหรับแอดมิน)'!$A$2:$G$100,5,FALSE),
        G49=VLOOKUP(C49,'Matches (สำหรับแอดมิน)'!$A$2:$G$100,6,FALSE)
    ),
    IF(
        AND(
            VLOOKUP(C49,'Matches (สำหรับแอดมิน)'!$A$2:$G$100,5,FALSE)=0,
            VLOOKUP(C49,'Matches (สำหรับแอดมิน)'!$A$2:$G$100,6,FALSE)=0
        ),
        4,
        3+
        VLOOKUP(C49,'Matches (สำหรับแอดมิน)'!$A$2:$G$100,5,FALSE)+
        VLOOKUP(C49,'Matches (สำหรับแอดมิน)'!$A$2:$G$100,6,FALSE)
    ),
    IF(
        OR(
            AND(
                VLOOKUP(C49,'Matches (สำหรับแอดมิน)'!$A$2:$G$100,5,FALSE)&gt;
                VLOOKUP(C49,'Matches (สำหรับแอดมิน)'!$A$2:$G$100,6,FALSE),
                E49&gt;G49
            ),
            AND(
                VLOOKUP(C49,'Matches (สำหรับแอดมิน)'!$A$2:$G$100,6,FALSE)&gt;
                VLOOKUP(C49,'Matches (สำหรับแอดมิน)'!$A$2:$G$100,5,FALSE),
                G49&gt;E49
            ),
            AND(
                VLOOKUP(C49,'Matches (สำหรับแอดมิน)'!$A$2:$G$100,5,FALSE)=
                VLOOKUP(C49,'Matches (สำหรับแอดมิน)'!$A$2:$G$100,6,FALSE),
                E49=G49
            )
        ),
        3,
        0
    )
))</f>
        <v>0</v>
      </c>
      <c r="I49" s="19"/>
      <c r="J49" s="19"/>
    </row>
    <row r="50" spans="1:10" ht="22.5" customHeight="1">
      <c r="A50" s="15" t="str">
        <f t="shared" si="0"/>
        <v>Mun_M5</v>
      </c>
      <c r="B50" s="24" t="s">
        <v>186</v>
      </c>
      <c r="C50" s="17">
        <v>5</v>
      </c>
      <c r="D50" s="15" t="str">
        <f>VLOOKUP(C50,'Matches (สำหรับแอดมิน)'!$A$2:$D$105,3,FALSE)</f>
        <v>Qatar</v>
      </c>
      <c r="E50" s="15"/>
      <c r="F50" s="15" t="str">
        <f>VLOOKUP(C50,'Matches (สำหรับแอดมิน)'!$A$2:$D$105,4,FALSE)</f>
        <v>Switzerland</v>
      </c>
      <c r="G50" s="15"/>
      <c r="H50" s="18">
        <f>IF(VLOOKUP(C50,'Matches (สำหรับแอดมิน)'!$A$2:$G$100,7,FALSE)&lt;&gt;"จบแล้ว",0,
IF(
    AND(
        E50=VLOOKUP(C50,'Matches (สำหรับแอดมิน)'!$A$2:$G$100,5,FALSE),
        G50=VLOOKUP(C50,'Matches (สำหรับแอดมิน)'!$A$2:$G$100,6,FALSE)
    ),
    IF(
        AND(
            VLOOKUP(C50,'Matches (สำหรับแอดมิน)'!$A$2:$G$100,5,FALSE)=0,
            VLOOKUP(C50,'Matches (สำหรับแอดมิน)'!$A$2:$G$100,6,FALSE)=0
        ),
        4,
        3+
        VLOOKUP(C50,'Matches (สำหรับแอดมิน)'!$A$2:$G$100,5,FALSE)+
        VLOOKUP(C50,'Matches (สำหรับแอดมิน)'!$A$2:$G$100,6,FALSE)
    ),
    IF(
        OR(
            AND(
                VLOOKUP(C50,'Matches (สำหรับแอดมิน)'!$A$2:$G$100,5,FALSE)&gt;
                VLOOKUP(C50,'Matches (สำหรับแอดมิน)'!$A$2:$G$100,6,FALSE),
                E50&gt;G50
            ),
            AND(
                VLOOKUP(C50,'Matches (สำหรับแอดมิน)'!$A$2:$G$100,6,FALSE)&gt;
                VLOOKUP(C50,'Matches (สำหรับแอดมิน)'!$A$2:$G$100,5,FALSE),
                G50&gt;E50
            ),
            AND(
                VLOOKUP(C50,'Matches (สำหรับแอดมิน)'!$A$2:$G$100,5,FALSE)=
                VLOOKUP(C50,'Matches (สำหรับแอดมิน)'!$A$2:$G$100,6,FALSE),
                E50=G50
            )
        ),
        3,
        0
    )
))</f>
        <v>0</v>
      </c>
      <c r="I50" s="19"/>
      <c r="J50" s="19"/>
    </row>
    <row r="51" spans="1:10" ht="22.5" customHeight="1">
      <c r="A51" s="15" t="str">
        <f t="shared" si="0"/>
        <v>Mig_M5</v>
      </c>
      <c r="B51" s="24" t="s">
        <v>187</v>
      </c>
      <c r="C51" s="17">
        <v>5</v>
      </c>
      <c r="D51" s="15" t="str">
        <f>VLOOKUP(C51,'Matches (สำหรับแอดมิน)'!$A$2:$D$105,3,FALSE)</f>
        <v>Qatar</v>
      </c>
      <c r="E51" s="15"/>
      <c r="F51" s="15" t="str">
        <f>VLOOKUP(C51,'Matches (สำหรับแอดมิน)'!$A$2:$D$105,4,FALSE)</f>
        <v>Switzerland</v>
      </c>
      <c r="G51" s="15"/>
      <c r="H51" s="18">
        <f>IF(VLOOKUP(C51,'Matches (สำหรับแอดมิน)'!$A$2:$G$100,7,FALSE)&lt;&gt;"จบแล้ว",0,
IF(
    AND(
        E51=VLOOKUP(C51,'Matches (สำหรับแอดมิน)'!$A$2:$G$100,5,FALSE),
        G51=VLOOKUP(C51,'Matches (สำหรับแอดมิน)'!$A$2:$G$100,6,FALSE)
    ),
    IF(
        AND(
            VLOOKUP(C51,'Matches (สำหรับแอดมิน)'!$A$2:$G$100,5,FALSE)=0,
            VLOOKUP(C51,'Matches (สำหรับแอดมิน)'!$A$2:$G$100,6,FALSE)=0
        ),
        4,
        3+
        VLOOKUP(C51,'Matches (สำหรับแอดมิน)'!$A$2:$G$100,5,FALSE)+
        VLOOKUP(C51,'Matches (สำหรับแอดมิน)'!$A$2:$G$100,6,FALSE)
    ),
    IF(
        OR(
            AND(
                VLOOKUP(C51,'Matches (สำหรับแอดมิน)'!$A$2:$G$100,5,FALSE)&gt;
                VLOOKUP(C51,'Matches (สำหรับแอดมิน)'!$A$2:$G$100,6,FALSE),
                E51&gt;G51
            ),
            AND(
                VLOOKUP(C51,'Matches (สำหรับแอดมิน)'!$A$2:$G$100,6,FALSE)&gt;
                VLOOKUP(C51,'Matches (สำหรับแอดมิน)'!$A$2:$G$100,5,FALSE),
                G51&gt;E51
            ),
            AND(
                VLOOKUP(C51,'Matches (สำหรับแอดมิน)'!$A$2:$G$100,5,FALSE)=
                VLOOKUP(C51,'Matches (สำหรับแอดมิน)'!$A$2:$G$100,6,FALSE),
                E51=G51
            )
        ),
        3,
        0
    )
))</f>
        <v>0</v>
      </c>
      <c r="I51" s="19"/>
      <c r="J51" s="19"/>
    </row>
    <row r="52" spans="1:10" ht="22.5" customHeight="1">
      <c r="A52" s="15" t="str">
        <f t="shared" si="0"/>
        <v>Ball_M6</v>
      </c>
      <c r="B52" s="24" t="s">
        <v>177</v>
      </c>
      <c r="C52" s="17">
        <v>6</v>
      </c>
      <c r="D52" s="15" t="str">
        <f>VLOOKUP(C52,'Matches (สำหรับแอดมิน)'!$A$2:$D$105,3,FALSE)</f>
        <v>Brazil</v>
      </c>
      <c r="E52" s="15"/>
      <c r="F52" s="15" t="str">
        <f>VLOOKUP(C52,'Matches (สำหรับแอดมิน)'!$A$2:$D$105,4,FALSE)</f>
        <v>Morocco</v>
      </c>
      <c r="G52" s="15"/>
      <c r="H52" s="18">
        <f>IF(VLOOKUP(C52,'Matches (สำหรับแอดมิน)'!$A$2:$G$100,7,FALSE)&lt;&gt;"จบแล้ว",0,
IF(
    AND(
        E52=VLOOKUP(C52,'Matches (สำหรับแอดมิน)'!$A$2:$G$100,5,FALSE),
        G52=VLOOKUP(C52,'Matches (สำหรับแอดมิน)'!$A$2:$G$100,6,FALSE)
    ),
    IF(
        AND(
            VLOOKUP(C52,'Matches (สำหรับแอดมิน)'!$A$2:$G$100,5,FALSE)=0,
            VLOOKUP(C52,'Matches (สำหรับแอดมิน)'!$A$2:$G$100,6,FALSE)=0
        ),
        4,
        3+
        VLOOKUP(C52,'Matches (สำหรับแอดมิน)'!$A$2:$G$100,5,FALSE)+
        VLOOKUP(C52,'Matches (สำหรับแอดมิน)'!$A$2:$G$100,6,FALSE)
    ),
    IF(
        OR(
            AND(
                VLOOKUP(C52,'Matches (สำหรับแอดมิน)'!$A$2:$G$100,5,FALSE)&gt;
                VLOOKUP(C52,'Matches (สำหรับแอดมิน)'!$A$2:$G$100,6,FALSE),
                E52&gt;G52
            ),
            AND(
                VLOOKUP(C52,'Matches (สำหรับแอดมิน)'!$A$2:$G$100,6,FALSE)&gt;
                VLOOKUP(C52,'Matches (สำหรับแอดมิน)'!$A$2:$G$100,5,FALSE),
                G52&gt;E52
            ),
            AND(
                VLOOKUP(C52,'Matches (สำหรับแอดมิน)'!$A$2:$G$100,5,FALSE)=
                VLOOKUP(C52,'Matches (สำหรับแอดมิน)'!$A$2:$G$100,6,FALSE),
                E52=G52
            )
        ),
        3,
        0
    )
))</f>
        <v>0</v>
      </c>
      <c r="I52" s="19"/>
      <c r="J52" s="19"/>
    </row>
    <row r="53" spans="1:10" ht="22.5" customHeight="1">
      <c r="A53" s="15" t="str">
        <f t="shared" si="0"/>
        <v>Been_M6</v>
      </c>
      <c r="B53" s="24" t="s">
        <v>178</v>
      </c>
      <c r="C53" s="17">
        <v>6</v>
      </c>
      <c r="D53" s="15" t="str">
        <f>VLOOKUP(C53,'Matches (สำหรับแอดมิน)'!$A$2:$D$105,3,FALSE)</f>
        <v>Brazil</v>
      </c>
      <c r="E53" s="15"/>
      <c r="F53" s="15" t="str">
        <f>VLOOKUP(C53,'Matches (สำหรับแอดมิน)'!$A$2:$D$105,4,FALSE)</f>
        <v>Morocco</v>
      </c>
      <c r="G53" s="15"/>
      <c r="H53" s="18">
        <f>IF(VLOOKUP(C53,'Matches (สำหรับแอดมิน)'!$A$2:$G$100,7,FALSE)&lt;&gt;"จบแล้ว",0,
IF(
    AND(
        E53=VLOOKUP(C53,'Matches (สำหรับแอดมิน)'!$A$2:$G$100,5,FALSE),
        G53=VLOOKUP(C53,'Matches (สำหรับแอดมิน)'!$A$2:$G$100,6,FALSE)
    ),
    IF(
        AND(
            VLOOKUP(C53,'Matches (สำหรับแอดมิน)'!$A$2:$G$100,5,FALSE)=0,
            VLOOKUP(C53,'Matches (สำหรับแอดมิน)'!$A$2:$G$100,6,FALSE)=0
        ),
        4,
        3+
        VLOOKUP(C53,'Matches (สำหรับแอดมิน)'!$A$2:$G$100,5,FALSE)+
        VLOOKUP(C53,'Matches (สำหรับแอดมิน)'!$A$2:$G$100,6,FALSE)
    ),
    IF(
        OR(
            AND(
                VLOOKUP(C53,'Matches (สำหรับแอดมิน)'!$A$2:$G$100,5,FALSE)&gt;
                VLOOKUP(C53,'Matches (สำหรับแอดมิน)'!$A$2:$G$100,6,FALSE),
                E53&gt;G53
            ),
            AND(
                VLOOKUP(C53,'Matches (สำหรับแอดมิน)'!$A$2:$G$100,6,FALSE)&gt;
                VLOOKUP(C53,'Matches (สำหรับแอดมิน)'!$A$2:$G$100,5,FALSE),
                G53&gt;E53
            ),
            AND(
                VLOOKUP(C53,'Matches (สำหรับแอดมิน)'!$A$2:$G$100,5,FALSE)=
                VLOOKUP(C53,'Matches (สำหรับแอดมิน)'!$A$2:$G$100,6,FALSE),
                E53=G53
            )
        ),
        3,
        0
    )
))</f>
        <v>0</v>
      </c>
      <c r="I53" s="19"/>
      <c r="J53" s="19"/>
    </row>
    <row r="54" spans="1:10" ht="22.5" customHeight="1">
      <c r="A54" s="15" t="str">
        <f t="shared" si="0"/>
        <v>Faro_M6</v>
      </c>
      <c r="B54" s="24" t="s">
        <v>179</v>
      </c>
      <c r="C54" s="22">
        <v>6</v>
      </c>
      <c r="D54" s="23" t="str">
        <f>VLOOKUP(C54,'Matches (สำหรับแอดมิน)'!$A$2:$D$105,3,FALSE)</f>
        <v>Brazil</v>
      </c>
      <c r="E54" s="15">
        <v>2</v>
      </c>
      <c r="F54" s="15" t="str">
        <f>VLOOKUP(C54,'Matches (สำหรับแอดมิน)'!$A$2:$D$105,4,FALSE)</f>
        <v>Morocco</v>
      </c>
      <c r="G54" s="15">
        <v>1</v>
      </c>
      <c r="H54" s="18">
        <f>IF(VLOOKUP(C54,'Matches (สำหรับแอดมิน)'!$A$2:$G$100,7,FALSE)&lt;&gt;"จบแล้ว",0,
IF(
    AND(
        E54=VLOOKUP(C54,'Matches (สำหรับแอดมิน)'!$A$2:$G$100,5,FALSE),
        G54=VLOOKUP(C54,'Matches (สำหรับแอดมิน)'!$A$2:$G$100,6,FALSE)
    ),
    IF(
        AND(
            VLOOKUP(C54,'Matches (สำหรับแอดมิน)'!$A$2:$G$100,5,FALSE)=0,
            VLOOKUP(C54,'Matches (สำหรับแอดมิน)'!$A$2:$G$100,6,FALSE)=0
        ),
        4,
        3+
        VLOOKUP(C54,'Matches (สำหรับแอดมิน)'!$A$2:$G$100,5,FALSE)+
        VLOOKUP(C54,'Matches (สำหรับแอดมิน)'!$A$2:$G$100,6,FALSE)
    ),
    IF(
        OR(
            AND(
                VLOOKUP(C54,'Matches (สำหรับแอดมิน)'!$A$2:$G$100,5,FALSE)&gt;
                VLOOKUP(C54,'Matches (สำหรับแอดมิน)'!$A$2:$G$100,6,FALSE),
                E54&gt;G54
            ),
            AND(
                VLOOKUP(C54,'Matches (สำหรับแอดมิน)'!$A$2:$G$100,6,FALSE)&gt;
                VLOOKUP(C54,'Matches (สำหรับแอดมิน)'!$A$2:$G$100,5,FALSE),
                G54&gt;E54
            ),
            AND(
                VLOOKUP(C54,'Matches (สำหรับแอดมิน)'!$A$2:$G$100,5,FALSE)=
                VLOOKUP(C54,'Matches (สำหรับแอดมิน)'!$A$2:$G$100,6,FALSE),
                E54=G54
            )
        ),
        3,
        0
    )
))</f>
        <v>0</v>
      </c>
      <c r="I54" s="19"/>
      <c r="J54" s="19"/>
    </row>
    <row r="55" spans="1:10" ht="22.5" customHeight="1">
      <c r="A55" s="15" t="str">
        <f t="shared" si="0"/>
        <v>Oat_M6</v>
      </c>
      <c r="B55" s="24" t="s">
        <v>180</v>
      </c>
      <c r="C55" s="22">
        <v>6</v>
      </c>
      <c r="D55" s="23" t="str">
        <f>VLOOKUP(C55,'Matches (สำหรับแอดมิน)'!$A$2:$D$105,3,FALSE)</f>
        <v>Brazil</v>
      </c>
      <c r="E55" s="15">
        <v>3</v>
      </c>
      <c r="F55" s="15" t="str">
        <f>VLOOKUP(C55,'Matches (สำหรับแอดมิน)'!$A$2:$D$105,4,FALSE)</f>
        <v>Morocco</v>
      </c>
      <c r="G55" s="15">
        <v>1</v>
      </c>
      <c r="H55" s="18">
        <f>IF(VLOOKUP(C55,'Matches (สำหรับแอดมิน)'!$A$2:$G$100,7,FALSE)&lt;&gt;"จบแล้ว",0,
IF(
    AND(
        E55=VLOOKUP(C55,'Matches (สำหรับแอดมิน)'!$A$2:$G$100,5,FALSE),
        G55=VLOOKUP(C55,'Matches (สำหรับแอดมิน)'!$A$2:$G$100,6,FALSE)
    ),
    IF(
        AND(
            VLOOKUP(C55,'Matches (สำหรับแอดมิน)'!$A$2:$G$100,5,FALSE)=0,
            VLOOKUP(C55,'Matches (สำหรับแอดมิน)'!$A$2:$G$100,6,FALSE)=0
        ),
        4,
        3+
        VLOOKUP(C55,'Matches (สำหรับแอดมิน)'!$A$2:$G$100,5,FALSE)+
        VLOOKUP(C55,'Matches (สำหรับแอดมิน)'!$A$2:$G$100,6,FALSE)
    ),
    IF(
        OR(
            AND(
                VLOOKUP(C55,'Matches (สำหรับแอดมิน)'!$A$2:$G$100,5,FALSE)&gt;
                VLOOKUP(C55,'Matches (สำหรับแอดมิน)'!$A$2:$G$100,6,FALSE),
                E55&gt;G55
            ),
            AND(
                VLOOKUP(C55,'Matches (สำหรับแอดมิน)'!$A$2:$G$100,6,FALSE)&gt;
                VLOOKUP(C55,'Matches (สำหรับแอดมิน)'!$A$2:$G$100,5,FALSE),
                G55&gt;E55
            ),
            AND(
                VLOOKUP(C55,'Matches (สำหรับแอดมิน)'!$A$2:$G$100,5,FALSE)=
                VLOOKUP(C55,'Matches (สำหรับแอดมิน)'!$A$2:$G$100,6,FALSE),
                E55=G55
            )
        ),
        3,
        0
    )
))</f>
        <v>0</v>
      </c>
      <c r="I55" s="19"/>
      <c r="J55" s="19"/>
    </row>
    <row r="56" spans="1:10" ht="22.5" customHeight="1">
      <c r="A56" s="15" t="str">
        <f t="shared" si="0"/>
        <v>Kob_M6</v>
      </c>
      <c r="B56" s="24" t="s">
        <v>181</v>
      </c>
      <c r="C56" s="17">
        <v>6</v>
      </c>
      <c r="D56" s="15" t="str">
        <f>VLOOKUP(C56,'Matches (สำหรับแอดมิน)'!$A$2:$D$105,3,FALSE)</f>
        <v>Brazil</v>
      </c>
      <c r="E56" s="15">
        <v>2</v>
      </c>
      <c r="F56" s="15" t="str">
        <f>VLOOKUP(C56,'Matches (สำหรับแอดมิน)'!$A$2:$D$105,4,FALSE)</f>
        <v>Morocco</v>
      </c>
      <c r="G56" s="15">
        <v>0</v>
      </c>
      <c r="H56" s="18">
        <f>IF(VLOOKUP(C56,'Matches (สำหรับแอดมิน)'!$A$2:$G$100,7,FALSE)&lt;&gt;"จบแล้ว",0,
IF(
    AND(
        E56=VLOOKUP(C56,'Matches (สำหรับแอดมิน)'!$A$2:$G$100,5,FALSE),
        G56=VLOOKUP(C56,'Matches (สำหรับแอดมิน)'!$A$2:$G$100,6,FALSE)
    ),
    IF(
        AND(
            VLOOKUP(C56,'Matches (สำหรับแอดมิน)'!$A$2:$G$100,5,FALSE)=0,
            VLOOKUP(C56,'Matches (สำหรับแอดมิน)'!$A$2:$G$100,6,FALSE)=0
        ),
        4,
        3+
        VLOOKUP(C56,'Matches (สำหรับแอดมิน)'!$A$2:$G$100,5,FALSE)+
        VLOOKUP(C56,'Matches (สำหรับแอดมิน)'!$A$2:$G$100,6,FALSE)
    ),
    IF(
        OR(
            AND(
                VLOOKUP(C56,'Matches (สำหรับแอดมิน)'!$A$2:$G$100,5,FALSE)&gt;
                VLOOKUP(C56,'Matches (สำหรับแอดมิน)'!$A$2:$G$100,6,FALSE),
                E56&gt;G56
            ),
            AND(
                VLOOKUP(C56,'Matches (สำหรับแอดมิน)'!$A$2:$G$100,6,FALSE)&gt;
                VLOOKUP(C56,'Matches (สำหรับแอดมิน)'!$A$2:$G$100,5,FALSE),
                G56&gt;E56
            ),
            AND(
                VLOOKUP(C56,'Matches (สำหรับแอดมิน)'!$A$2:$G$100,5,FALSE)=
                VLOOKUP(C56,'Matches (สำหรับแอดมิน)'!$A$2:$G$100,6,FALSE),
                E56=G56
            )
        ),
        3,
        0
    )
))</f>
        <v>0</v>
      </c>
      <c r="I56" s="19"/>
      <c r="J56" s="19"/>
    </row>
    <row r="57" spans="1:10" ht="22.5" customHeight="1">
      <c r="A57" s="15" t="str">
        <f t="shared" si="0"/>
        <v>Aof_M6</v>
      </c>
      <c r="B57" s="24" t="s">
        <v>182</v>
      </c>
      <c r="C57" s="17">
        <v>6</v>
      </c>
      <c r="D57" s="15" t="str">
        <f>VLOOKUP(C57,'Matches (สำหรับแอดมิน)'!$A$2:$D$105,3,FALSE)</f>
        <v>Brazil</v>
      </c>
      <c r="E57" s="15">
        <v>3</v>
      </c>
      <c r="F57" s="15" t="str">
        <f>VLOOKUP(C57,'Matches (สำหรับแอดมิน)'!$A$2:$D$105,4,FALSE)</f>
        <v>Morocco</v>
      </c>
      <c r="G57" s="15">
        <v>0</v>
      </c>
      <c r="H57" s="18">
        <f>IF(VLOOKUP(C57,'Matches (สำหรับแอดมิน)'!$A$2:$G$100,7,FALSE)&lt;&gt;"จบแล้ว",0,
IF(
    AND(
        E57=VLOOKUP(C57,'Matches (สำหรับแอดมิน)'!$A$2:$G$100,5,FALSE),
        G57=VLOOKUP(C57,'Matches (สำหรับแอดมิน)'!$A$2:$G$100,6,FALSE)
    ),
    IF(
        AND(
            VLOOKUP(C57,'Matches (สำหรับแอดมิน)'!$A$2:$G$100,5,FALSE)=0,
            VLOOKUP(C57,'Matches (สำหรับแอดมิน)'!$A$2:$G$100,6,FALSE)=0
        ),
        4,
        3+
        VLOOKUP(C57,'Matches (สำหรับแอดมิน)'!$A$2:$G$100,5,FALSE)+
        VLOOKUP(C57,'Matches (สำหรับแอดมิน)'!$A$2:$G$100,6,FALSE)
    ),
    IF(
        OR(
            AND(
                VLOOKUP(C57,'Matches (สำหรับแอดมิน)'!$A$2:$G$100,5,FALSE)&gt;
                VLOOKUP(C57,'Matches (สำหรับแอดมิน)'!$A$2:$G$100,6,FALSE),
                E57&gt;G57
            ),
            AND(
                VLOOKUP(C57,'Matches (สำหรับแอดมิน)'!$A$2:$G$100,6,FALSE)&gt;
                VLOOKUP(C57,'Matches (สำหรับแอดมิน)'!$A$2:$G$100,5,FALSE),
                G57&gt;E57
            ),
            AND(
                VLOOKUP(C57,'Matches (สำหรับแอดมิน)'!$A$2:$G$100,5,FALSE)=
                VLOOKUP(C57,'Matches (สำหรับแอดมิน)'!$A$2:$G$100,6,FALSE),
                E57=G57
            )
        ),
        3,
        0
    )
))</f>
        <v>0</v>
      </c>
      <c r="I57" s="19"/>
      <c r="J57" s="19"/>
    </row>
    <row r="58" spans="1:10" ht="22.5" customHeight="1">
      <c r="A58" s="15" t="str">
        <f t="shared" si="0"/>
        <v>Ice_M6</v>
      </c>
      <c r="B58" s="24" t="s">
        <v>183</v>
      </c>
      <c r="C58" s="17">
        <v>6</v>
      </c>
      <c r="D58" s="15" t="str">
        <f>VLOOKUP(C58,'Matches (สำหรับแอดมิน)'!$A$2:$D$105,3,FALSE)</f>
        <v>Brazil</v>
      </c>
      <c r="E58" s="15"/>
      <c r="F58" s="15" t="str">
        <f>VLOOKUP(C58,'Matches (สำหรับแอดมิน)'!$A$2:$D$105,4,FALSE)</f>
        <v>Morocco</v>
      </c>
      <c r="G58" s="15"/>
      <c r="H58" s="18">
        <f>IF(VLOOKUP(C58,'Matches (สำหรับแอดมิน)'!$A$2:$G$100,7,FALSE)&lt;&gt;"จบแล้ว",0,
IF(
    AND(
        E58=VLOOKUP(C58,'Matches (สำหรับแอดมิน)'!$A$2:$G$100,5,FALSE),
        G58=VLOOKUP(C58,'Matches (สำหรับแอดมิน)'!$A$2:$G$100,6,FALSE)
    ),
    IF(
        AND(
            VLOOKUP(C58,'Matches (สำหรับแอดมิน)'!$A$2:$G$100,5,FALSE)=0,
            VLOOKUP(C58,'Matches (สำหรับแอดมิน)'!$A$2:$G$100,6,FALSE)=0
        ),
        4,
        3+
        VLOOKUP(C58,'Matches (สำหรับแอดมิน)'!$A$2:$G$100,5,FALSE)+
        VLOOKUP(C58,'Matches (สำหรับแอดมิน)'!$A$2:$G$100,6,FALSE)
    ),
    IF(
        OR(
            AND(
                VLOOKUP(C58,'Matches (สำหรับแอดมิน)'!$A$2:$G$100,5,FALSE)&gt;
                VLOOKUP(C58,'Matches (สำหรับแอดมิน)'!$A$2:$G$100,6,FALSE),
                E58&gt;G58
            ),
            AND(
                VLOOKUP(C58,'Matches (สำหรับแอดมิน)'!$A$2:$G$100,6,FALSE)&gt;
                VLOOKUP(C58,'Matches (สำหรับแอดมิน)'!$A$2:$G$100,5,FALSE),
                G58&gt;E58
            ),
            AND(
                VLOOKUP(C58,'Matches (สำหรับแอดมิน)'!$A$2:$G$100,5,FALSE)=
                VLOOKUP(C58,'Matches (สำหรับแอดมิน)'!$A$2:$G$100,6,FALSE),
                E58=G58
            )
        ),
        3,
        0
    )
))</f>
        <v>0</v>
      </c>
      <c r="I58" s="19"/>
      <c r="J58" s="19"/>
    </row>
    <row r="59" spans="1:10" ht="22.5" customHeight="1">
      <c r="A59" s="15" t="str">
        <f t="shared" si="0"/>
        <v>Golf_M6</v>
      </c>
      <c r="B59" s="24" t="s">
        <v>185</v>
      </c>
      <c r="C59" s="17">
        <v>6</v>
      </c>
      <c r="D59" s="15" t="str">
        <f>VLOOKUP(C59,'Matches (สำหรับแอดมิน)'!$A$2:$D$105,3,FALSE)</f>
        <v>Brazil</v>
      </c>
      <c r="E59" s="15"/>
      <c r="F59" s="15" t="str">
        <f>VLOOKUP(C59,'Matches (สำหรับแอดมิน)'!$A$2:$D$105,4,FALSE)</f>
        <v>Morocco</v>
      </c>
      <c r="G59" s="15"/>
      <c r="H59" s="18">
        <f>IF(VLOOKUP(C59,'Matches (สำหรับแอดมิน)'!$A$2:$G$100,7,FALSE)&lt;&gt;"จบแล้ว",0,
IF(
    AND(
        E59=VLOOKUP(C59,'Matches (สำหรับแอดมิน)'!$A$2:$G$100,5,FALSE),
        G59=VLOOKUP(C59,'Matches (สำหรับแอดมิน)'!$A$2:$G$100,6,FALSE)
    ),
    IF(
        AND(
            VLOOKUP(C59,'Matches (สำหรับแอดมิน)'!$A$2:$G$100,5,FALSE)=0,
            VLOOKUP(C59,'Matches (สำหรับแอดมิน)'!$A$2:$G$100,6,FALSE)=0
        ),
        4,
        3+
        VLOOKUP(C59,'Matches (สำหรับแอดมิน)'!$A$2:$G$100,5,FALSE)+
        VLOOKUP(C59,'Matches (สำหรับแอดมิน)'!$A$2:$G$100,6,FALSE)
    ),
    IF(
        OR(
            AND(
                VLOOKUP(C59,'Matches (สำหรับแอดมิน)'!$A$2:$G$100,5,FALSE)&gt;
                VLOOKUP(C59,'Matches (สำหรับแอดมิน)'!$A$2:$G$100,6,FALSE),
                E59&gt;G59
            ),
            AND(
                VLOOKUP(C59,'Matches (สำหรับแอดมิน)'!$A$2:$G$100,6,FALSE)&gt;
                VLOOKUP(C59,'Matches (สำหรับแอดมิน)'!$A$2:$G$100,5,FALSE),
                G59&gt;E59
            ),
            AND(
                VLOOKUP(C59,'Matches (สำหรับแอดมิน)'!$A$2:$G$100,5,FALSE)=
                VLOOKUP(C59,'Matches (สำหรับแอดมิน)'!$A$2:$G$100,6,FALSE),
                E59=G59
            )
        ),
        3,
        0
    )
))</f>
        <v>0</v>
      </c>
      <c r="I59" s="19"/>
      <c r="J59" s="19"/>
    </row>
    <row r="60" spans="1:10" ht="22.5" customHeight="1">
      <c r="A60" s="15" t="str">
        <f t="shared" si="0"/>
        <v>Mun_M6</v>
      </c>
      <c r="B60" s="24" t="s">
        <v>186</v>
      </c>
      <c r="C60" s="17">
        <v>6</v>
      </c>
      <c r="D60" s="15" t="str">
        <f>VLOOKUP(C60,'Matches (สำหรับแอดมิน)'!$A$2:$D$105,3,FALSE)</f>
        <v>Brazil</v>
      </c>
      <c r="E60" s="15"/>
      <c r="F60" s="15" t="str">
        <f>VLOOKUP(C60,'Matches (สำหรับแอดมิน)'!$A$2:$D$105,4,FALSE)</f>
        <v>Morocco</v>
      </c>
      <c r="G60" s="15"/>
      <c r="H60" s="18">
        <f>IF(VLOOKUP(C60,'Matches (สำหรับแอดมิน)'!$A$2:$G$100,7,FALSE)&lt;&gt;"จบแล้ว",0,
IF(
    AND(
        E60=VLOOKUP(C60,'Matches (สำหรับแอดมิน)'!$A$2:$G$100,5,FALSE),
        G60=VLOOKUP(C60,'Matches (สำหรับแอดมิน)'!$A$2:$G$100,6,FALSE)
    ),
    IF(
        AND(
            VLOOKUP(C60,'Matches (สำหรับแอดมิน)'!$A$2:$G$100,5,FALSE)=0,
            VLOOKUP(C60,'Matches (สำหรับแอดมิน)'!$A$2:$G$100,6,FALSE)=0
        ),
        4,
        3+
        VLOOKUP(C60,'Matches (สำหรับแอดมิน)'!$A$2:$G$100,5,FALSE)+
        VLOOKUP(C60,'Matches (สำหรับแอดมิน)'!$A$2:$G$100,6,FALSE)
    ),
    IF(
        OR(
            AND(
                VLOOKUP(C60,'Matches (สำหรับแอดมิน)'!$A$2:$G$100,5,FALSE)&gt;
                VLOOKUP(C60,'Matches (สำหรับแอดมิน)'!$A$2:$G$100,6,FALSE),
                E60&gt;G60
            ),
            AND(
                VLOOKUP(C60,'Matches (สำหรับแอดมิน)'!$A$2:$G$100,6,FALSE)&gt;
                VLOOKUP(C60,'Matches (สำหรับแอดมิน)'!$A$2:$G$100,5,FALSE),
                G60&gt;E60
            ),
            AND(
                VLOOKUP(C60,'Matches (สำหรับแอดมิน)'!$A$2:$G$100,5,FALSE)=
                VLOOKUP(C60,'Matches (สำหรับแอดมิน)'!$A$2:$G$100,6,FALSE),
                E60=G60
            )
        ),
        3,
        0
    )
))</f>
        <v>0</v>
      </c>
      <c r="I60" s="19"/>
      <c r="J60" s="19"/>
    </row>
    <row r="61" spans="1:10" ht="22.5" customHeight="1">
      <c r="A61" s="15" t="str">
        <f t="shared" si="0"/>
        <v>Mig_M6</v>
      </c>
      <c r="B61" s="24" t="s">
        <v>187</v>
      </c>
      <c r="C61" s="17">
        <v>6</v>
      </c>
      <c r="D61" s="15" t="str">
        <f>VLOOKUP(C61,'Matches (สำหรับแอดมิน)'!$A$2:$D$105,3,FALSE)</f>
        <v>Brazil</v>
      </c>
      <c r="E61" s="15"/>
      <c r="F61" s="15" t="str">
        <f>VLOOKUP(C61,'Matches (สำหรับแอดมิน)'!$A$2:$D$105,4,FALSE)</f>
        <v>Morocco</v>
      </c>
      <c r="G61" s="15"/>
      <c r="H61" s="18">
        <f>IF(VLOOKUP(C61,'Matches (สำหรับแอดมิน)'!$A$2:$G$100,7,FALSE)&lt;&gt;"จบแล้ว",0,
IF(
    AND(
        E61=VLOOKUP(C61,'Matches (สำหรับแอดมิน)'!$A$2:$G$100,5,FALSE),
        G61=VLOOKUP(C61,'Matches (สำหรับแอดมิน)'!$A$2:$G$100,6,FALSE)
    ),
    IF(
        AND(
            VLOOKUP(C61,'Matches (สำหรับแอดมิน)'!$A$2:$G$100,5,FALSE)=0,
            VLOOKUP(C61,'Matches (สำหรับแอดมิน)'!$A$2:$G$100,6,FALSE)=0
        ),
        4,
        3+
        VLOOKUP(C61,'Matches (สำหรับแอดมิน)'!$A$2:$G$100,5,FALSE)+
        VLOOKUP(C61,'Matches (สำหรับแอดมิน)'!$A$2:$G$100,6,FALSE)
    ),
    IF(
        OR(
            AND(
                VLOOKUP(C61,'Matches (สำหรับแอดมิน)'!$A$2:$G$100,5,FALSE)&gt;
                VLOOKUP(C61,'Matches (สำหรับแอดมิน)'!$A$2:$G$100,6,FALSE),
                E61&gt;G61
            ),
            AND(
                VLOOKUP(C61,'Matches (สำหรับแอดมิน)'!$A$2:$G$100,6,FALSE)&gt;
                VLOOKUP(C61,'Matches (สำหรับแอดมิน)'!$A$2:$G$100,5,FALSE),
                G61&gt;E61
            ),
            AND(
                VLOOKUP(C61,'Matches (สำหรับแอดมิน)'!$A$2:$G$100,5,FALSE)=
                VLOOKUP(C61,'Matches (สำหรับแอดมิน)'!$A$2:$G$100,6,FALSE),
                E61=G61
            )
        ),
        3,
        0
    )
))</f>
        <v>0</v>
      </c>
      <c r="I61" s="19"/>
      <c r="J61" s="19"/>
    </row>
    <row r="62" spans="1:10" ht="12.75"/>
    <row r="63" spans="1:10" ht="12.75"/>
    <row r="64" spans="1:10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customSheetViews>
    <customSheetView guid="{CF696B93-6A4C-435A-BBDB-D05392BE7B83}" filter="1" showAutoFilter="1">
      <pageMargins left="0.7" right="0.7" top="0.75" bottom="0.75" header="0.3" footer="0.3"/>
      <autoFilter ref="A1:J61" xr:uid="{00000000-0000-0000-0000-000000000000}">
        <filterColumn colId="1">
          <filters>
            <filter val="Faro"/>
          </filters>
        </filterColumn>
      </autoFilter>
    </customSheetView>
  </customSheetViews>
  <dataValidations count="1">
    <dataValidation type="custom" allowBlank="1" showDropDown="1" sqref="C2:C61" xr:uid="{00000000-0002-0000-0200-000000000000}">
      <formula1>AND(ISNUMBER(C2),(NOT(OR(NOT(ISERROR(DATEVALUE(C2))), AND(ISNUMBER(C2), LEFT(CELL("format", C2))="D")))))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1"/>
  <sheetViews>
    <sheetView workbookViewId="0"/>
  </sheetViews>
  <sheetFormatPr defaultColWidth="12.5703125" defaultRowHeight="15.75" customHeight="1"/>
  <cols>
    <col min="1" max="1" width="15.28515625" customWidth="1"/>
  </cols>
  <sheetData>
    <row r="1" spans="1:2" ht="15.75" customHeight="1">
      <c r="A1" s="26" t="s">
        <v>171</v>
      </c>
      <c r="B1" s="26" t="s">
        <v>188</v>
      </c>
    </row>
    <row r="2" spans="1:2" ht="15.75" customHeight="1">
      <c r="A2" s="27" t="s">
        <v>177</v>
      </c>
      <c r="B2" s="28">
        <f>SUMIF('Predictions (ทายผล)'!$B$2:$B$100, A2, 'Predictions (ทายผล)'!$H$2:$H$100)</f>
        <v>0</v>
      </c>
    </row>
    <row r="3" spans="1:2" ht="15.75" customHeight="1">
      <c r="A3" s="27" t="s">
        <v>178</v>
      </c>
      <c r="B3" s="28">
        <f>SUMIF('Predictions (ทายผล)'!$B$2:$B$100, A3, 'Predictions (ทายผล)'!$H$2:$H$100)</f>
        <v>0</v>
      </c>
    </row>
    <row r="4" spans="1:2" ht="15.75" customHeight="1">
      <c r="A4" s="27" t="s">
        <v>179</v>
      </c>
      <c r="B4" s="28">
        <f>SUMIF('Predictions (ทายผล)'!$B$2:$B$100, A4, 'Predictions (ทายผล)'!$H$2:$H$100)</f>
        <v>0</v>
      </c>
    </row>
    <row r="5" spans="1:2" ht="15.75" customHeight="1">
      <c r="A5" s="27" t="s">
        <v>180</v>
      </c>
      <c r="B5" s="28">
        <f>SUMIF('Predictions (ทายผล)'!$B$2:$B$100, A5, 'Predictions (ทายผล)'!$H$2:$H$100)</f>
        <v>0</v>
      </c>
    </row>
    <row r="6" spans="1:2" ht="15.75" customHeight="1">
      <c r="A6" s="27" t="s">
        <v>181</v>
      </c>
      <c r="B6" s="28">
        <f>SUMIF('Predictions (ทายผล)'!$B$2:$B$100, A6, 'Predictions (ทายผล)'!$H$2:$H$100)</f>
        <v>0</v>
      </c>
    </row>
    <row r="7" spans="1:2" ht="15.75" customHeight="1">
      <c r="A7" s="27" t="s">
        <v>182</v>
      </c>
      <c r="B7" s="28">
        <f>SUMIF('Predictions (ทายผล)'!$B$2:$B$100, A7, 'Predictions (ทายผล)'!$H$2:$H$100)</f>
        <v>0</v>
      </c>
    </row>
    <row r="8" spans="1:2" ht="15.75" customHeight="1">
      <c r="A8" s="27" t="s">
        <v>183</v>
      </c>
      <c r="B8" s="28">
        <f>SUMIF('Predictions (ทายผล)'!$B$2:$B$100, A8, 'Predictions (ทายผล)'!$H$2:$H$100)</f>
        <v>0</v>
      </c>
    </row>
    <row r="9" spans="1:2" ht="15.75" customHeight="1">
      <c r="A9" s="27" t="s">
        <v>185</v>
      </c>
      <c r="B9" s="28">
        <f>SUMIF('Predictions (ทายผล)'!$B$2:$B$100, A9, 'Predictions (ทายผล)'!$H$2:$H$100)</f>
        <v>0</v>
      </c>
    </row>
    <row r="10" spans="1:2" ht="15.75" customHeight="1">
      <c r="A10" s="27" t="s">
        <v>186</v>
      </c>
      <c r="B10" s="28">
        <f>SUMIF('Predictions (ทายผล)'!$B$2:$B$100, A10, 'Predictions (ทายผล)'!$H$2:$H$100)</f>
        <v>0</v>
      </c>
    </row>
    <row r="11" spans="1:2" ht="15.75" customHeight="1">
      <c r="A11" s="27" t="s">
        <v>187</v>
      </c>
      <c r="B11" s="28">
        <f>SUMIF('Predictions (ทายผล)'!$B$2:$B$100, A11, 'Predictions (ทายผล)'!$H$2:$H$100)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คู่มือการใช้งาน</vt:lpstr>
      <vt:lpstr>Matches (สำหรับแอดมิน)</vt:lpstr>
      <vt:lpstr>Predictions (ทายผล)</vt:lpstr>
      <vt:lpstr>ผลคะแนน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win11</cp:lastModifiedBy>
  <dcterms:modified xsi:type="dcterms:W3CDTF">2026-06-11T16:31:18Z</dcterms:modified>
</cp:coreProperties>
</file>